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7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8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9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0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11.xml" ContentType="application/vnd.openxmlformats-officedocument.drawing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drawings/drawing12.xml" ContentType="application/vnd.openxmlformats-officedocument.drawing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18915" windowHeight="11190" activeTab="11"/>
  </bookViews>
  <sheets>
    <sheet name="Enero24" sheetId="1" r:id="rId1"/>
    <sheet name="Febrero24" sheetId="2" r:id="rId2"/>
    <sheet name="Marzo24" sheetId="3" r:id="rId3"/>
    <sheet name="Abril24" sheetId="4" r:id="rId4"/>
    <sheet name="Mayo24" sheetId="5" r:id="rId5"/>
    <sheet name="Junio24" sheetId="6" r:id="rId6"/>
    <sheet name="Julio24" sheetId="7" r:id="rId7"/>
    <sheet name="Agosto24" sheetId="8" r:id="rId8"/>
    <sheet name="Septiembre24" sheetId="9" r:id="rId9"/>
    <sheet name="Octubre24" sheetId="10" r:id="rId10"/>
    <sheet name="Noviembre24" sheetId="11" r:id="rId11"/>
    <sheet name="Diciembre24" sheetId="13" r:id="rId12"/>
  </sheets>
  <calcPr calcId="145621"/>
</workbook>
</file>

<file path=xl/calcChain.xml><?xml version="1.0" encoding="utf-8"?>
<calcChain xmlns="http://schemas.openxmlformats.org/spreadsheetml/2006/main">
  <c r="D17" i="13" l="1"/>
  <c r="D30" i="13"/>
  <c r="D50" i="13"/>
  <c r="D17" i="11" l="1"/>
  <c r="D30" i="11"/>
  <c r="D50" i="11"/>
  <c r="D15" i="10" l="1"/>
  <c r="D22" i="10"/>
  <c r="D31" i="10"/>
  <c r="D47" i="10"/>
  <c r="D15" i="9" l="1"/>
  <c r="D22" i="9"/>
  <c r="D31" i="9"/>
  <c r="D47" i="9"/>
  <c r="D15" i="8" l="1"/>
  <c r="D22" i="8"/>
  <c r="D31" i="8"/>
  <c r="D47" i="8"/>
  <c r="D15" i="7" l="1"/>
  <c r="D22" i="7"/>
  <c r="D31" i="7"/>
  <c r="D47" i="7"/>
  <c r="D15" i="6" l="1"/>
  <c r="D22" i="6"/>
  <c r="D31" i="6"/>
  <c r="D47" i="6"/>
  <c r="D15" i="5" l="1"/>
  <c r="D22" i="5"/>
  <c r="D31" i="5"/>
  <c r="D47" i="5"/>
  <c r="D15" i="4" l="1"/>
  <c r="D22" i="4"/>
  <c r="D31" i="4"/>
  <c r="D47" i="4"/>
  <c r="D15" i="3" l="1"/>
  <c r="D22" i="3"/>
  <c r="D31" i="3"/>
  <c r="D47" i="3"/>
  <c r="D15" i="2" l="1"/>
  <c r="D22" i="2"/>
  <c r="D31" i="2"/>
  <c r="D47" i="2"/>
  <c r="D22" i="1" l="1"/>
  <c r="D15" i="1" l="1"/>
  <c r="D47" i="1" l="1"/>
  <c r="D31" i="1" l="1"/>
</calcChain>
</file>

<file path=xl/sharedStrings.xml><?xml version="1.0" encoding="utf-8"?>
<sst xmlns="http://schemas.openxmlformats.org/spreadsheetml/2006/main" count="579" uniqueCount="77">
  <si>
    <t>DIRECCIÓN DE TRANSPARENCIA Y BUENAS PRÁCTICAS DEL GOBIERNO DE GUADALAJARA</t>
  </si>
  <si>
    <t>Afirmativa</t>
  </si>
  <si>
    <t>Negativa</t>
  </si>
  <si>
    <t>Acuerdos de no competencia</t>
  </si>
  <si>
    <t>Prevenciones</t>
  </si>
  <si>
    <t xml:space="preserve">Fundamental        </t>
  </si>
  <si>
    <t xml:space="preserve">Reservada              </t>
  </si>
  <si>
    <t xml:space="preserve">Confidencial            </t>
  </si>
  <si>
    <t>Tipo de respuesta</t>
  </si>
  <si>
    <t>Tipo de información</t>
  </si>
  <si>
    <t>Personales</t>
  </si>
  <si>
    <t>Electrónicas</t>
  </si>
  <si>
    <t>Estrados</t>
  </si>
  <si>
    <t>Medios de Acceso a la Información</t>
  </si>
  <si>
    <t>Consulta directa personal</t>
  </si>
  <si>
    <t>Consulta directa electrónica</t>
  </si>
  <si>
    <t>Reproducción de documentos</t>
  </si>
  <si>
    <t>Elaboración de informes</t>
  </si>
  <si>
    <t>Combinación de las anteriores</t>
  </si>
  <si>
    <t>Clasificación</t>
  </si>
  <si>
    <t>Tabla número 1.0</t>
  </si>
  <si>
    <t>Gráfica número 1.0</t>
  </si>
  <si>
    <t>Nota: Elaboración propia con datos del control de registro de solicitudes 2018.</t>
  </si>
  <si>
    <t>Total</t>
  </si>
  <si>
    <t>Tabla número 2.0</t>
  </si>
  <si>
    <t>Gráfica número 2.0</t>
  </si>
  <si>
    <t>Tabla número 3.0</t>
  </si>
  <si>
    <t>Gráfica número 3.0</t>
  </si>
  <si>
    <t>Tabla número 4.0</t>
  </si>
  <si>
    <t>Gráfica número 4.0</t>
  </si>
  <si>
    <t>Afirmativa parcial</t>
  </si>
  <si>
    <t>Ordinaria y de libre acceso</t>
  </si>
  <si>
    <t>Correo electrónico</t>
  </si>
  <si>
    <t>Telefónica</t>
  </si>
  <si>
    <t xml:space="preserve">Total de solicitudes </t>
  </si>
  <si>
    <t xml:space="preserve">Acuerdo de no competencia </t>
  </si>
  <si>
    <t xml:space="preserve">Total </t>
  </si>
  <si>
    <t>Canceladas</t>
  </si>
  <si>
    <t>Derecho ARCO</t>
  </si>
  <si>
    <t>Prevenciones (No respondio)</t>
  </si>
  <si>
    <t>Nota: Elaboración propia con datos del control de registro de solicitudes 2024. Corresponden a la suma de solicitudes Afirmativa y Afirmativa parcial, así como número de soliciutdes que requirieron reproducción de documentos.</t>
  </si>
  <si>
    <t>Nota: Elaboración propia con datos del control de registro de solicitudes 2024.</t>
  </si>
  <si>
    <t>Nota: Elaboración propia con datos del control de registro de solicitudes 2024. Corresponden a la suma de solicitudes Afirmativa y Afirmativa parcial</t>
  </si>
  <si>
    <t>Solicitudes del mes de ENERO de 2024</t>
  </si>
  <si>
    <t xml:space="preserve">       INFORMACIÓN ESTADÍSTICA - ENERO 2024                                                                                                                         </t>
  </si>
  <si>
    <t>Solicitudes del mes de FEBRERO de 2024</t>
  </si>
  <si>
    <t xml:space="preserve">       INFORMACIÓN ESTADÍSTICA - FEBRERO 2024                                                                                                                         </t>
  </si>
  <si>
    <t>Solicitudes del mes de MARZO de 2024</t>
  </si>
  <si>
    <t xml:space="preserve">       INFORMACIÓN ESTADÍSTICA - MARZO 2024                                                                                                                         </t>
  </si>
  <si>
    <t>Solicitudes del mes de ABRIL de 2024</t>
  </si>
  <si>
    <t xml:space="preserve">       INFORMACIÓN ESTADÍSTICA - ABRIL 2024                                                                                                                         </t>
  </si>
  <si>
    <t>Solicitudes del mes de MAYO de 2024</t>
  </si>
  <si>
    <t xml:space="preserve">       INFORMACIÓN ESTADÍSTICA - MAYO 2024                                                                                                                         </t>
  </si>
  <si>
    <t>Solicitudes del mes de JUNIO de 2024</t>
  </si>
  <si>
    <t xml:space="preserve">       INFORMACIÓN ESTADÍSTICA - JUNIO 2024                                                                                                                         </t>
  </si>
  <si>
    <t>Solicitudes del mes de JULIO de 2024</t>
  </si>
  <si>
    <t xml:space="preserve">       INFORMACIÓN ESTADÍSTICA - JULIO 2024                                                                                                                         </t>
  </si>
  <si>
    <t>Solicitudes del mes de AGOSTO de 2024</t>
  </si>
  <si>
    <t xml:space="preserve">       INFORMACIÓN ESTADÍSTICA - AGOSTO 2024                                                                                                                         </t>
  </si>
  <si>
    <t>Solicitudes del mes de SEPTIEMBRE de 2024</t>
  </si>
  <si>
    <t xml:space="preserve">            INFORMACIÓN ESTADÍSTICA - SEPTIEMBRE 2024                                                                                                                         </t>
  </si>
  <si>
    <t>Dirección de Transparencia y Buenas Prácticas</t>
  </si>
  <si>
    <t>Solicitudes del mes de noviembre de 2024</t>
  </si>
  <si>
    <t>Solicitudes del mes de octubre de 2024</t>
  </si>
  <si>
    <t>Solicitudes de información y ARCO</t>
  </si>
  <si>
    <t>Gráfica Solicitudes de información y ARCO</t>
  </si>
  <si>
    <t>Clasificación de la Información</t>
  </si>
  <si>
    <t>Gráfica Clasificación de la Información</t>
  </si>
  <si>
    <t>Medio de recepción</t>
  </si>
  <si>
    <t>Gráfica medios de recepción</t>
  </si>
  <si>
    <t>Cantidad</t>
  </si>
  <si>
    <t xml:space="preserve">No. </t>
  </si>
  <si>
    <t xml:space="preserve">Tipo de Información </t>
  </si>
  <si>
    <t>No.</t>
  </si>
  <si>
    <t>Derecho de petición</t>
  </si>
  <si>
    <t>cantidad</t>
  </si>
  <si>
    <t>Solicitudes del mes de diciembre de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</si>
</sst>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2"/>
      <color theme="1"/>
      <name val="Seravek"/>
      <family val="2"/>
    </font>
    <font>
      <sz val="12"/>
      <color theme="1"/>
      <name val="Seravek"/>
      <family val="2"/>
    </font>
    <font>
      <sz val="20"/>
      <color theme="1"/>
      <name val="Calibri"/>
      <family val="2"/>
      <scheme val="minor"/>
    </font>
    <font>
      <sz val="20"/>
      <color theme="1"/>
      <name val="Times New Roman"/>
      <family val="1"/>
    </font>
    <font>
      <sz val="18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12"/>
      <color theme="1"/>
      <name val="Seravek"/>
      <family val="2"/>
    </font>
    <font>
      <sz val="12"/>
      <name val="Seravek"/>
      <family val="2"/>
    </font>
    <font>
      <sz val="11"/>
      <color theme="1"/>
      <name val="Seravek"/>
      <family val="2"/>
    </font>
    <font>
      <sz val="18"/>
      <color theme="1"/>
      <name val="Seravek"/>
      <family val="2"/>
    </font>
    <font>
      <b/>
      <sz val="12"/>
      <name val="Seravek"/>
      <family val="2"/>
    </font>
    <font>
      <b/>
      <sz val="11"/>
      <color theme="1"/>
      <name val="Seravek"/>
      <family val="2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C9E5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9" fillId="0" borderId="0"/>
  </cellStyleXfs>
  <cellXfs count="168">
    <xf numFmtId="0" fontId="0" fillId="0" borderId="0" xfId="0"/>
    <xf numFmtId="0" fontId="3" fillId="0" borderId="0" xfId="0" applyFont="1" applyAlignment="1">
      <alignment vertical="center" wrapText="1"/>
    </xf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1" fontId="7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left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0" fontId="6" fillId="0" borderId="0" xfId="0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left"/>
    </xf>
    <xf numFmtId="0" fontId="10" fillId="0" borderId="0" xfId="0" applyFont="1"/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0" fillId="3" borderId="0" xfId="0" applyFill="1"/>
    <xf numFmtId="0" fontId="3" fillId="3" borderId="0" xfId="0" applyFont="1" applyFill="1" applyAlignment="1">
      <alignment vertical="center" wrapText="1"/>
    </xf>
    <xf numFmtId="0" fontId="8" fillId="2" borderId="0" xfId="0" applyFont="1" applyFill="1" applyBorder="1" applyAlignment="1">
      <alignment horizontal="center"/>
    </xf>
    <xf numFmtId="0" fontId="9" fillId="2" borderId="0" xfId="0" applyFont="1" applyFill="1" applyBorder="1" applyAlignment="1">
      <alignment horizontal="left" vertical="center" wrapText="1"/>
    </xf>
    <xf numFmtId="0" fontId="9" fillId="0" borderId="0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6" fillId="0" borderId="1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6" fillId="0" borderId="1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6" fillId="0" borderId="1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6" fillId="0" borderId="1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/>
    <xf numFmtId="0" fontId="2" fillId="0" borderId="0" xfId="0" applyFont="1" applyBorder="1"/>
    <xf numFmtId="0" fontId="2" fillId="0" borderId="0" xfId="0" applyFont="1" applyAlignment="1">
      <alignment horizontal="left"/>
    </xf>
    <xf numFmtId="0" fontId="13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/>
    <xf numFmtId="0" fontId="13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vertical="center"/>
    </xf>
    <xf numFmtId="0" fontId="13" fillId="0" borderId="7" xfId="0" applyFont="1" applyBorder="1" applyAlignment="1">
      <alignment horizontal="center"/>
    </xf>
    <xf numFmtId="0" fontId="13" fillId="0" borderId="0" xfId="0" applyFont="1" applyAlignment="1">
      <alignment wrapText="1"/>
    </xf>
    <xf numFmtId="0" fontId="13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wrapText="1"/>
    </xf>
    <xf numFmtId="0" fontId="13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" fontId="13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left" vertical="center" wrapText="1"/>
    </xf>
    <xf numFmtId="1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15" fillId="0" borderId="0" xfId="0" applyFont="1"/>
    <xf numFmtId="0" fontId="16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3" fillId="0" borderId="0" xfId="0" applyFont="1"/>
    <xf numFmtId="0" fontId="17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 vertical="center"/>
    </xf>
    <xf numFmtId="1" fontId="14" fillId="0" borderId="1" xfId="0" applyNumberFormat="1" applyFont="1" applyBorder="1" applyAlignment="1">
      <alignment horizontal="center" vertical="center"/>
    </xf>
    <xf numFmtId="1" fontId="17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4" fillId="0" borderId="1" xfId="0" applyFont="1" applyBorder="1" applyAlignment="1"/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>
      <alignment wrapText="1"/>
    </xf>
    <xf numFmtId="0" fontId="14" fillId="0" borderId="1" xfId="0" applyFont="1" applyBorder="1" applyAlignment="1">
      <alignment horizontal="left"/>
    </xf>
    <xf numFmtId="0" fontId="14" fillId="0" borderId="1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/>
    </xf>
    <xf numFmtId="0" fontId="17" fillId="0" borderId="0" xfId="0" applyNumberFormat="1" applyFont="1" applyBorder="1" applyAlignment="1">
      <alignment horizontal="center"/>
    </xf>
    <xf numFmtId="0" fontId="17" fillId="0" borderId="1" xfId="0" applyNumberFormat="1" applyFont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13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12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0" borderId="0" xfId="0" applyFont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10" fillId="0" borderId="0" xfId="0" applyFont="1" applyAlignment="1">
      <alignment horizontal="center" wrapText="1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0" xfId="0" applyFont="1" applyBorder="1"/>
    <xf numFmtId="0" fontId="2" fillId="0" borderId="0" xfId="0" applyFont="1" applyAlignment="1"/>
    <xf numFmtId="0" fontId="13" fillId="0" borderId="0" xfId="0" applyFont="1" applyAlignment="1">
      <alignment horizontal="center"/>
    </xf>
    <xf numFmtId="0" fontId="15" fillId="0" borderId="0" xfId="0" applyFont="1" applyAlignment="1">
      <alignment horizontal="center" wrapText="1"/>
    </xf>
    <xf numFmtId="0" fontId="17" fillId="4" borderId="1" xfId="0" applyFont="1" applyFill="1" applyBorder="1" applyAlignment="1">
      <alignment horizontal="center"/>
    </xf>
    <xf numFmtId="0" fontId="17" fillId="4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3" fillId="4" borderId="6" xfId="0" applyFont="1" applyFill="1" applyBorder="1" applyAlignment="1">
      <alignment horizontal="center"/>
    </xf>
    <xf numFmtId="0" fontId="14" fillId="4" borderId="8" xfId="0" applyFont="1" applyFill="1" applyBorder="1"/>
    <xf numFmtId="0" fontId="14" fillId="4" borderId="5" xfId="0" applyFont="1" applyFill="1" applyBorder="1"/>
    <xf numFmtId="0" fontId="13" fillId="0" borderId="6" xfId="0" applyFont="1" applyBorder="1" applyAlignment="1">
      <alignment horizontal="center"/>
    </xf>
    <xf numFmtId="0" fontId="14" fillId="0" borderId="5" xfId="0" applyFont="1" applyBorder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wrapText="1"/>
    </xf>
    <xf numFmtId="0" fontId="2" fillId="0" borderId="6" xfId="0" applyFont="1" applyBorder="1" applyAlignment="1">
      <alignment horizontal="center"/>
    </xf>
    <xf numFmtId="0" fontId="13" fillId="4" borderId="6" xfId="0" applyFont="1" applyFill="1" applyBorder="1" applyAlignment="1">
      <alignment horizontal="center" wrapText="1"/>
    </xf>
    <xf numFmtId="0" fontId="13" fillId="0" borderId="0" xfId="0" applyFont="1" applyAlignment="1">
      <alignment horizontal="center" vertical="center"/>
    </xf>
    <xf numFmtId="0" fontId="1" fillId="0" borderId="0" xfId="1" applyFont="1" applyBorder="1"/>
    <xf numFmtId="0" fontId="1" fillId="0" borderId="0" xfId="1" applyFont="1" applyAlignment="1"/>
    <xf numFmtId="0" fontId="1" fillId="0" borderId="0" xfId="1" applyFont="1"/>
    <xf numFmtId="0" fontId="1" fillId="0" borderId="0" xfId="1" applyFont="1" applyAlignment="1"/>
    <xf numFmtId="0" fontId="1" fillId="0" borderId="0" xfId="1" applyFont="1" applyAlignment="1">
      <alignment horizontal="left"/>
    </xf>
    <xf numFmtId="0" fontId="13" fillId="0" borderId="0" xfId="1" applyFont="1" applyAlignment="1">
      <alignment horizontal="center"/>
    </xf>
    <xf numFmtId="0" fontId="13" fillId="0" borderId="0" xfId="1" applyFont="1" applyAlignment="1">
      <alignment horizontal="center" vertical="center"/>
    </xf>
    <xf numFmtId="0" fontId="1" fillId="0" borderId="0" xfId="1" applyFont="1" applyBorder="1"/>
    <xf numFmtId="0" fontId="13" fillId="0" borderId="6" xfId="1" applyFont="1" applyBorder="1" applyAlignment="1">
      <alignment horizontal="center"/>
    </xf>
    <xf numFmtId="0" fontId="14" fillId="0" borderId="5" xfId="1" applyFont="1" applyBorder="1"/>
    <xf numFmtId="0" fontId="1" fillId="0" borderId="4" xfId="1" applyFont="1" applyBorder="1" applyAlignment="1">
      <alignment wrapText="1"/>
    </xf>
    <xf numFmtId="0" fontId="13" fillId="0" borderId="4" xfId="1" applyFont="1" applyBorder="1" applyAlignment="1">
      <alignment horizontal="center" vertical="center"/>
    </xf>
    <xf numFmtId="0" fontId="1" fillId="0" borderId="4" xfId="1" applyFont="1" applyBorder="1" applyAlignment="1">
      <alignment horizontal="left" vertical="center" wrapText="1"/>
    </xf>
    <xf numFmtId="0" fontId="1" fillId="0" borderId="4" xfId="1" applyFont="1" applyBorder="1" applyAlignment="1">
      <alignment horizontal="center" vertical="center"/>
    </xf>
    <xf numFmtId="0" fontId="1" fillId="0" borderId="4" xfId="1" applyFont="1" applyBorder="1" applyAlignment="1">
      <alignment horizontal="left" vertical="center"/>
    </xf>
    <xf numFmtId="1" fontId="1" fillId="0" borderId="4" xfId="1" applyNumberFormat="1" applyFont="1" applyBorder="1" applyAlignment="1">
      <alignment horizontal="center" vertical="center"/>
    </xf>
    <xf numFmtId="1" fontId="13" fillId="0" borderId="4" xfId="1" applyNumberFormat="1" applyFont="1" applyBorder="1" applyAlignment="1">
      <alignment horizontal="center"/>
    </xf>
    <xf numFmtId="0" fontId="1" fillId="0" borderId="0" xfId="1" applyFont="1" applyAlignment="1">
      <alignment horizontal="left"/>
    </xf>
    <xf numFmtId="0" fontId="1" fillId="0" borderId="0" xfId="1" applyFont="1" applyAlignment="1">
      <alignment horizontal="center"/>
    </xf>
    <xf numFmtId="0" fontId="13" fillId="0" borderId="4" xfId="1" applyFont="1" applyBorder="1" applyAlignment="1">
      <alignment horizontal="center" vertical="center" wrapText="1"/>
    </xf>
    <xf numFmtId="0" fontId="13" fillId="0" borderId="4" xfId="1" applyFont="1" applyBorder="1" applyAlignment="1">
      <alignment horizontal="center"/>
    </xf>
    <xf numFmtId="0" fontId="1" fillId="0" borderId="4" xfId="1" applyFont="1" applyBorder="1"/>
    <xf numFmtId="0" fontId="1" fillId="0" borderId="4" xfId="1" applyFont="1" applyBorder="1" applyAlignment="1">
      <alignment horizontal="center"/>
    </xf>
    <xf numFmtId="0" fontId="1" fillId="0" borderId="4" xfId="1" applyFont="1" applyBorder="1" applyAlignment="1">
      <alignment horizontal="left"/>
    </xf>
    <xf numFmtId="0" fontId="1" fillId="0" borderId="6" xfId="1" applyFont="1" applyBorder="1" applyAlignment="1">
      <alignment horizontal="center"/>
    </xf>
    <xf numFmtId="0" fontId="1" fillId="0" borderId="0" xfId="1" applyFont="1" applyAlignment="1">
      <alignment horizontal="center" wrapText="1"/>
    </xf>
    <xf numFmtId="0" fontId="13" fillId="0" borderId="0" xfId="1" applyFont="1" applyAlignment="1">
      <alignment wrapText="1"/>
    </xf>
    <xf numFmtId="0" fontId="13" fillId="0" borderId="7" xfId="1" applyFont="1" applyBorder="1" applyAlignment="1">
      <alignment horizontal="center"/>
    </xf>
    <xf numFmtId="0" fontId="13" fillId="0" borderId="7" xfId="1" applyFont="1" applyBorder="1" applyAlignment="1">
      <alignment vertical="center"/>
    </xf>
    <xf numFmtId="0" fontId="13" fillId="0" borderId="7" xfId="1" applyFont="1" applyBorder="1" applyAlignment="1">
      <alignment horizontal="center" vertical="center"/>
    </xf>
    <xf numFmtId="0" fontId="13" fillId="0" borderId="4" xfId="0" applyFont="1" applyBorder="1" applyAlignment="1">
      <alignment wrapText="1"/>
    </xf>
    <xf numFmtId="0" fontId="13" fillId="0" borderId="4" xfId="1" applyFont="1" applyBorder="1" applyAlignment="1">
      <alignment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CC9E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Enero24!$C$8:$C$14</c:f>
              <c:strCache>
                <c:ptCount val="7"/>
                <c:pt idx="0">
                  <c:v>Afirmativa</c:v>
                </c:pt>
                <c:pt idx="1">
                  <c:v>Afirmativa parcial</c:v>
                </c:pt>
                <c:pt idx="2">
                  <c:v>Negativa</c:v>
                </c:pt>
                <c:pt idx="3">
                  <c:v>Acuerdos de no competencia</c:v>
                </c:pt>
                <c:pt idx="4">
                  <c:v>Prevenciones</c:v>
                </c:pt>
                <c:pt idx="5">
                  <c:v>Canceladas</c:v>
                </c:pt>
                <c:pt idx="6">
                  <c:v>Derecho ARCO</c:v>
                </c:pt>
              </c:strCache>
            </c:strRef>
          </c:cat>
          <c:val>
            <c:numRef>
              <c:f>Enero24!$D$8:$D$14</c:f>
              <c:numCache>
                <c:formatCode>General</c:formatCode>
                <c:ptCount val="7"/>
                <c:pt idx="0">
                  <c:v>658</c:v>
                </c:pt>
                <c:pt idx="1">
                  <c:v>623</c:v>
                </c:pt>
                <c:pt idx="2">
                  <c:v>348</c:v>
                </c:pt>
                <c:pt idx="3">
                  <c:v>16</c:v>
                </c:pt>
                <c:pt idx="4">
                  <c:v>23</c:v>
                </c:pt>
                <c:pt idx="5" formatCode="0">
                  <c:v>0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67921536"/>
        <c:axId val="167924480"/>
      </c:barChart>
      <c:catAx>
        <c:axId val="167921536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Times New Roman" pitchFamily="18" charset="0"/>
                <a:cs typeface="Times New Roman" pitchFamily="18" charset="0"/>
              </a:defRPr>
            </a:pPr>
            <a:endParaRPr lang="es-MX"/>
          </a:p>
        </c:txPr>
        <c:crossAx val="167924480"/>
        <c:crosses val="autoZero"/>
        <c:auto val="1"/>
        <c:lblAlgn val="ctr"/>
        <c:lblOffset val="100"/>
        <c:noMultiLvlLbl val="0"/>
      </c:catAx>
      <c:valAx>
        <c:axId val="1679244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792153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Enero24!$C$27:$C$30</c:f>
              <c:strCache>
                <c:ptCount val="4"/>
                <c:pt idx="0">
                  <c:v>Fundamental        </c:v>
                </c:pt>
                <c:pt idx="1">
                  <c:v>Ordinaria y de libre acceso</c:v>
                </c:pt>
                <c:pt idx="2">
                  <c:v>Reservada              </c:v>
                </c:pt>
                <c:pt idx="3">
                  <c:v>Confidencial            </c:v>
                </c:pt>
              </c:strCache>
            </c:strRef>
          </c:cat>
          <c:val>
            <c:numRef>
              <c:f>Enero24!$D$27:$D$30</c:f>
              <c:numCache>
                <c:formatCode>General</c:formatCode>
                <c:ptCount val="4"/>
                <c:pt idx="0">
                  <c:v>21</c:v>
                </c:pt>
                <c:pt idx="1">
                  <c:v>1232</c:v>
                </c:pt>
                <c:pt idx="2">
                  <c:v>0</c:v>
                </c:pt>
                <c:pt idx="3">
                  <c:v>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961344"/>
        <c:axId val="167962880"/>
      </c:barChart>
      <c:catAx>
        <c:axId val="1679613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s-MX"/>
          </a:p>
        </c:txPr>
        <c:crossAx val="167962880"/>
        <c:crosses val="autoZero"/>
        <c:auto val="1"/>
        <c:lblAlgn val="r"/>
        <c:lblOffset val="100"/>
        <c:noMultiLvlLbl val="0"/>
      </c:catAx>
      <c:valAx>
        <c:axId val="16796288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679613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Enero24!$C$42:$C$46</c:f>
              <c:strCache>
                <c:ptCount val="5"/>
                <c:pt idx="0">
                  <c:v>Personales</c:v>
                </c:pt>
                <c:pt idx="1">
                  <c:v>Electrónicas</c:v>
                </c:pt>
                <c:pt idx="2">
                  <c:v>Telefónica</c:v>
                </c:pt>
                <c:pt idx="3">
                  <c:v>Correo electrónico</c:v>
                </c:pt>
                <c:pt idx="4">
                  <c:v>Estrados</c:v>
                </c:pt>
              </c:strCache>
            </c:strRef>
          </c:cat>
          <c:val>
            <c:numRef>
              <c:f>Enero24!$D$42:$D$46</c:f>
              <c:numCache>
                <c:formatCode>General</c:formatCode>
                <c:ptCount val="5"/>
                <c:pt idx="0">
                  <c:v>32</c:v>
                </c:pt>
                <c:pt idx="1">
                  <c:v>1584</c:v>
                </c:pt>
                <c:pt idx="2">
                  <c:v>0</c:v>
                </c:pt>
                <c:pt idx="3">
                  <c:v>52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987456"/>
        <c:axId val="167989248"/>
      </c:barChart>
      <c:catAx>
        <c:axId val="1679874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7989248"/>
        <c:crosses val="autoZero"/>
        <c:auto val="1"/>
        <c:lblAlgn val="ctr"/>
        <c:lblOffset val="100"/>
        <c:noMultiLvlLbl val="0"/>
      </c:catAx>
      <c:valAx>
        <c:axId val="16798924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6798745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Enero24!$C$57:$C$61</c:f>
              <c:strCache>
                <c:ptCount val="5"/>
                <c:pt idx="0">
                  <c:v>Consulta directa personal</c:v>
                </c:pt>
                <c:pt idx="1">
                  <c:v>Consulta directa electrónica</c:v>
                </c:pt>
                <c:pt idx="2">
                  <c:v>Reproducción de documentos</c:v>
                </c:pt>
                <c:pt idx="3">
                  <c:v>Elaboración de informes</c:v>
                </c:pt>
                <c:pt idx="4">
                  <c:v>Combinación de las anteriores</c:v>
                </c:pt>
              </c:strCache>
            </c:strRef>
          </c:cat>
          <c:val>
            <c:numRef>
              <c:f>Enero24!$D$57:$D$61</c:f>
              <c:numCache>
                <c:formatCode>General</c:formatCode>
                <c:ptCount val="5"/>
                <c:pt idx="0">
                  <c:v>0</c:v>
                </c:pt>
                <c:pt idx="1">
                  <c:v>1281</c:v>
                </c:pt>
                <c:pt idx="2">
                  <c:v>612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034304"/>
        <c:axId val="168035840"/>
      </c:barChart>
      <c:catAx>
        <c:axId val="168034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8035840"/>
        <c:crosses val="autoZero"/>
        <c:auto val="1"/>
        <c:lblAlgn val="ctr"/>
        <c:lblOffset val="100"/>
        <c:noMultiLvlLbl val="0"/>
      </c:catAx>
      <c:valAx>
        <c:axId val="16803584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6803430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Febrero24!$C$8:$C$14</c:f>
              <c:strCache>
                <c:ptCount val="7"/>
                <c:pt idx="0">
                  <c:v>Afirmativa</c:v>
                </c:pt>
                <c:pt idx="1">
                  <c:v>Afirmativa parcial</c:v>
                </c:pt>
                <c:pt idx="2">
                  <c:v>Negativa</c:v>
                </c:pt>
                <c:pt idx="3">
                  <c:v>Acuerdos de no competencia</c:v>
                </c:pt>
                <c:pt idx="4">
                  <c:v>Prevenciones</c:v>
                </c:pt>
                <c:pt idx="5">
                  <c:v>Canceladas</c:v>
                </c:pt>
                <c:pt idx="6">
                  <c:v>Derecho ARCO</c:v>
                </c:pt>
              </c:strCache>
            </c:strRef>
          </c:cat>
          <c:val>
            <c:numRef>
              <c:f>Febrero24!$D$8:$D$14</c:f>
              <c:numCache>
                <c:formatCode>General</c:formatCode>
                <c:ptCount val="7"/>
                <c:pt idx="0">
                  <c:v>499</c:v>
                </c:pt>
                <c:pt idx="1">
                  <c:v>554</c:v>
                </c:pt>
                <c:pt idx="2">
                  <c:v>224</c:v>
                </c:pt>
                <c:pt idx="3">
                  <c:v>35</c:v>
                </c:pt>
                <c:pt idx="4">
                  <c:v>9</c:v>
                </c:pt>
                <c:pt idx="5" formatCode="0">
                  <c:v>0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68053760"/>
        <c:axId val="168073088"/>
      </c:barChart>
      <c:catAx>
        <c:axId val="168053760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Times New Roman" pitchFamily="18" charset="0"/>
                <a:cs typeface="Times New Roman" pitchFamily="18" charset="0"/>
              </a:defRPr>
            </a:pPr>
            <a:endParaRPr lang="es-MX"/>
          </a:p>
        </c:txPr>
        <c:crossAx val="168073088"/>
        <c:crosses val="autoZero"/>
        <c:auto val="1"/>
        <c:lblAlgn val="ctr"/>
        <c:lblOffset val="100"/>
        <c:noMultiLvlLbl val="0"/>
      </c:catAx>
      <c:valAx>
        <c:axId val="1680730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805376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Febrero24!$C$27:$C$30</c:f>
              <c:strCache>
                <c:ptCount val="4"/>
                <c:pt idx="0">
                  <c:v>Fundamental        </c:v>
                </c:pt>
                <c:pt idx="1">
                  <c:v>Ordinaria y de libre acceso</c:v>
                </c:pt>
                <c:pt idx="2">
                  <c:v>Reservada              </c:v>
                </c:pt>
                <c:pt idx="3">
                  <c:v>Confidencial            </c:v>
                </c:pt>
              </c:strCache>
            </c:strRef>
          </c:cat>
          <c:val>
            <c:numRef>
              <c:f>Febrero24!$D$27:$D$30</c:f>
              <c:numCache>
                <c:formatCode>General</c:formatCode>
                <c:ptCount val="4"/>
                <c:pt idx="0">
                  <c:v>29</c:v>
                </c:pt>
                <c:pt idx="1">
                  <c:v>973</c:v>
                </c:pt>
                <c:pt idx="2">
                  <c:v>0</c:v>
                </c:pt>
                <c:pt idx="3">
                  <c:v>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403584"/>
        <c:axId val="174405120"/>
      </c:barChart>
      <c:catAx>
        <c:axId val="1744035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s-MX"/>
          </a:p>
        </c:txPr>
        <c:crossAx val="174405120"/>
        <c:crosses val="autoZero"/>
        <c:auto val="1"/>
        <c:lblAlgn val="r"/>
        <c:lblOffset val="100"/>
        <c:noMultiLvlLbl val="0"/>
      </c:catAx>
      <c:valAx>
        <c:axId val="17440512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44035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Febrero24!$C$42:$C$46</c:f>
              <c:strCache>
                <c:ptCount val="5"/>
                <c:pt idx="0">
                  <c:v>Personales</c:v>
                </c:pt>
                <c:pt idx="1">
                  <c:v>Electrónicas</c:v>
                </c:pt>
                <c:pt idx="2">
                  <c:v>Telefónica</c:v>
                </c:pt>
                <c:pt idx="3">
                  <c:v>Correo electrónico</c:v>
                </c:pt>
                <c:pt idx="4">
                  <c:v>Estrados</c:v>
                </c:pt>
              </c:strCache>
            </c:strRef>
          </c:cat>
          <c:val>
            <c:numRef>
              <c:f>Febrero24!$D$42:$D$46</c:f>
              <c:numCache>
                <c:formatCode>General</c:formatCode>
                <c:ptCount val="5"/>
                <c:pt idx="0">
                  <c:v>47</c:v>
                </c:pt>
                <c:pt idx="1">
                  <c:v>1215</c:v>
                </c:pt>
                <c:pt idx="2">
                  <c:v>0</c:v>
                </c:pt>
                <c:pt idx="3">
                  <c:v>59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441600"/>
        <c:axId val="174443136"/>
      </c:barChart>
      <c:catAx>
        <c:axId val="1744416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4443136"/>
        <c:crosses val="autoZero"/>
        <c:auto val="1"/>
        <c:lblAlgn val="ctr"/>
        <c:lblOffset val="100"/>
        <c:noMultiLvlLbl val="0"/>
      </c:catAx>
      <c:valAx>
        <c:axId val="17444313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444160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Febrero24!$C$57:$C$61</c:f>
              <c:strCache>
                <c:ptCount val="5"/>
                <c:pt idx="0">
                  <c:v>Consulta directa personal</c:v>
                </c:pt>
                <c:pt idx="1">
                  <c:v>Consulta directa electrónica</c:v>
                </c:pt>
                <c:pt idx="2">
                  <c:v>Reproducción de documentos</c:v>
                </c:pt>
                <c:pt idx="3">
                  <c:v>Elaboración de informes</c:v>
                </c:pt>
                <c:pt idx="4">
                  <c:v>Combinación de las anteriores</c:v>
                </c:pt>
              </c:strCache>
            </c:strRef>
          </c:cat>
          <c:val>
            <c:numRef>
              <c:f>Febrero24!$D$57:$D$61</c:f>
              <c:numCache>
                <c:formatCode>General</c:formatCode>
                <c:ptCount val="5"/>
                <c:pt idx="0">
                  <c:v>0</c:v>
                </c:pt>
                <c:pt idx="1">
                  <c:v>1052</c:v>
                </c:pt>
                <c:pt idx="2">
                  <c:v>430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134400"/>
        <c:axId val="174135936"/>
      </c:barChart>
      <c:catAx>
        <c:axId val="1741344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4135936"/>
        <c:crosses val="autoZero"/>
        <c:auto val="1"/>
        <c:lblAlgn val="ctr"/>
        <c:lblOffset val="100"/>
        <c:noMultiLvlLbl val="0"/>
      </c:catAx>
      <c:valAx>
        <c:axId val="17413593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413440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Marzo24!$C$8:$C$14</c:f>
              <c:strCache>
                <c:ptCount val="7"/>
                <c:pt idx="0">
                  <c:v>Afirmativa</c:v>
                </c:pt>
                <c:pt idx="1">
                  <c:v>Afirmativa parcial</c:v>
                </c:pt>
                <c:pt idx="2">
                  <c:v>Negativa</c:v>
                </c:pt>
                <c:pt idx="3">
                  <c:v>Acuerdos de no competencia</c:v>
                </c:pt>
                <c:pt idx="4">
                  <c:v>Prevenciones</c:v>
                </c:pt>
                <c:pt idx="5">
                  <c:v>Canceladas</c:v>
                </c:pt>
                <c:pt idx="6">
                  <c:v>Derecho ARCO</c:v>
                </c:pt>
              </c:strCache>
            </c:strRef>
          </c:cat>
          <c:val>
            <c:numRef>
              <c:f>Marzo24!$D$8:$D$14</c:f>
              <c:numCache>
                <c:formatCode>General</c:formatCode>
                <c:ptCount val="7"/>
                <c:pt idx="0">
                  <c:v>386</c:v>
                </c:pt>
                <c:pt idx="1">
                  <c:v>394</c:v>
                </c:pt>
                <c:pt idx="2">
                  <c:v>184</c:v>
                </c:pt>
                <c:pt idx="3">
                  <c:v>4</c:v>
                </c:pt>
                <c:pt idx="4">
                  <c:v>4</c:v>
                </c:pt>
                <c:pt idx="5" formatCode="0">
                  <c:v>0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74231552"/>
        <c:axId val="174234240"/>
      </c:barChart>
      <c:catAx>
        <c:axId val="174231552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Times New Roman" pitchFamily="18" charset="0"/>
                <a:cs typeface="Times New Roman" pitchFamily="18" charset="0"/>
              </a:defRPr>
            </a:pPr>
            <a:endParaRPr lang="es-MX"/>
          </a:p>
        </c:txPr>
        <c:crossAx val="174234240"/>
        <c:crosses val="autoZero"/>
        <c:auto val="1"/>
        <c:lblAlgn val="ctr"/>
        <c:lblOffset val="100"/>
        <c:noMultiLvlLbl val="0"/>
      </c:catAx>
      <c:valAx>
        <c:axId val="1742342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423155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Marzo24!$C$27:$C$30</c:f>
              <c:strCache>
                <c:ptCount val="4"/>
                <c:pt idx="0">
                  <c:v>Fundamental        </c:v>
                </c:pt>
                <c:pt idx="1">
                  <c:v>Ordinaria y de libre acceso</c:v>
                </c:pt>
                <c:pt idx="2">
                  <c:v>Reservada              </c:v>
                </c:pt>
                <c:pt idx="3">
                  <c:v>Confidencial            </c:v>
                </c:pt>
              </c:strCache>
            </c:strRef>
          </c:cat>
          <c:val>
            <c:numRef>
              <c:f>Marzo24!$D$27:$D$30</c:f>
              <c:numCache>
                <c:formatCode>General</c:formatCode>
                <c:ptCount val="4"/>
                <c:pt idx="0">
                  <c:v>24</c:v>
                </c:pt>
                <c:pt idx="1">
                  <c:v>738</c:v>
                </c:pt>
                <c:pt idx="2">
                  <c:v>0</c:v>
                </c:pt>
                <c:pt idx="3">
                  <c:v>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275200"/>
        <c:axId val="174281088"/>
      </c:barChart>
      <c:catAx>
        <c:axId val="1742752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s-MX"/>
          </a:p>
        </c:txPr>
        <c:crossAx val="174281088"/>
        <c:crosses val="autoZero"/>
        <c:auto val="1"/>
        <c:lblAlgn val="r"/>
        <c:lblOffset val="100"/>
        <c:noMultiLvlLbl val="0"/>
      </c:catAx>
      <c:valAx>
        <c:axId val="17428108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42752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Marzo24!$C$42:$C$46</c:f>
              <c:strCache>
                <c:ptCount val="5"/>
                <c:pt idx="0">
                  <c:v>Personales</c:v>
                </c:pt>
                <c:pt idx="1">
                  <c:v>Electrónicas</c:v>
                </c:pt>
                <c:pt idx="2">
                  <c:v>Telefónica</c:v>
                </c:pt>
                <c:pt idx="3">
                  <c:v>Correo electrónico</c:v>
                </c:pt>
                <c:pt idx="4">
                  <c:v>Estrados</c:v>
                </c:pt>
              </c:strCache>
            </c:strRef>
          </c:cat>
          <c:val>
            <c:numRef>
              <c:f>Marzo24!$D$42:$D$46</c:f>
              <c:numCache>
                <c:formatCode>General</c:formatCode>
                <c:ptCount val="5"/>
                <c:pt idx="0">
                  <c:v>50</c:v>
                </c:pt>
                <c:pt idx="1">
                  <c:v>894</c:v>
                </c:pt>
                <c:pt idx="2">
                  <c:v>0</c:v>
                </c:pt>
                <c:pt idx="3">
                  <c:v>28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301568"/>
        <c:axId val="174303104"/>
      </c:barChart>
      <c:catAx>
        <c:axId val="1743015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4303104"/>
        <c:crosses val="autoZero"/>
        <c:auto val="1"/>
        <c:lblAlgn val="ctr"/>
        <c:lblOffset val="100"/>
        <c:noMultiLvlLbl val="0"/>
      </c:catAx>
      <c:valAx>
        <c:axId val="17430310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430156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Marzo24!$C$57:$C$61</c:f>
              <c:strCache>
                <c:ptCount val="5"/>
                <c:pt idx="0">
                  <c:v>Consulta directa personal</c:v>
                </c:pt>
                <c:pt idx="1">
                  <c:v>Consulta directa electrónica</c:v>
                </c:pt>
                <c:pt idx="2">
                  <c:v>Reproducción de documentos</c:v>
                </c:pt>
                <c:pt idx="3">
                  <c:v>Elaboración de informes</c:v>
                </c:pt>
                <c:pt idx="4">
                  <c:v>Combinación de las anteriores</c:v>
                </c:pt>
              </c:strCache>
            </c:strRef>
          </c:cat>
          <c:val>
            <c:numRef>
              <c:f>Marzo24!$D$57:$D$61</c:f>
              <c:numCache>
                <c:formatCode>General</c:formatCode>
                <c:ptCount val="5"/>
                <c:pt idx="0">
                  <c:v>1</c:v>
                </c:pt>
                <c:pt idx="1">
                  <c:v>779</c:v>
                </c:pt>
                <c:pt idx="2">
                  <c:v>399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741376"/>
        <c:axId val="174742912"/>
      </c:barChart>
      <c:catAx>
        <c:axId val="1747413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4742912"/>
        <c:crosses val="autoZero"/>
        <c:auto val="1"/>
        <c:lblAlgn val="ctr"/>
        <c:lblOffset val="100"/>
        <c:noMultiLvlLbl val="0"/>
      </c:catAx>
      <c:valAx>
        <c:axId val="17474291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474137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Abril24!$C$8:$C$14</c:f>
              <c:strCache>
                <c:ptCount val="7"/>
                <c:pt idx="0">
                  <c:v>Afirmativa</c:v>
                </c:pt>
                <c:pt idx="1">
                  <c:v>Afirmativa parcial</c:v>
                </c:pt>
                <c:pt idx="2">
                  <c:v>Negativa</c:v>
                </c:pt>
                <c:pt idx="3">
                  <c:v>Acuerdos de no competencia</c:v>
                </c:pt>
                <c:pt idx="4">
                  <c:v>Prevenciones</c:v>
                </c:pt>
                <c:pt idx="5">
                  <c:v>Canceladas</c:v>
                </c:pt>
                <c:pt idx="6">
                  <c:v>Derecho ARCO</c:v>
                </c:pt>
              </c:strCache>
            </c:strRef>
          </c:cat>
          <c:val>
            <c:numRef>
              <c:f>Abril24!$D$8:$D$14</c:f>
              <c:numCache>
                <c:formatCode>General</c:formatCode>
                <c:ptCount val="7"/>
                <c:pt idx="0">
                  <c:v>505</c:v>
                </c:pt>
                <c:pt idx="1">
                  <c:v>454</c:v>
                </c:pt>
                <c:pt idx="2">
                  <c:v>231</c:v>
                </c:pt>
                <c:pt idx="3">
                  <c:v>14</c:v>
                </c:pt>
                <c:pt idx="4">
                  <c:v>4</c:v>
                </c:pt>
                <c:pt idx="5" formatCode="0">
                  <c:v>0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74457600"/>
        <c:axId val="174460288"/>
      </c:barChart>
      <c:catAx>
        <c:axId val="174457600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Times New Roman" pitchFamily="18" charset="0"/>
                <a:cs typeface="Times New Roman" pitchFamily="18" charset="0"/>
              </a:defRPr>
            </a:pPr>
            <a:endParaRPr lang="es-MX"/>
          </a:p>
        </c:txPr>
        <c:crossAx val="174460288"/>
        <c:crosses val="autoZero"/>
        <c:auto val="1"/>
        <c:lblAlgn val="ctr"/>
        <c:lblOffset val="100"/>
        <c:noMultiLvlLbl val="0"/>
      </c:catAx>
      <c:valAx>
        <c:axId val="1744602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445760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Abril24!$C$27:$C$30</c:f>
              <c:strCache>
                <c:ptCount val="4"/>
                <c:pt idx="0">
                  <c:v>Fundamental        </c:v>
                </c:pt>
                <c:pt idx="1">
                  <c:v>Ordinaria y de libre acceso</c:v>
                </c:pt>
                <c:pt idx="2">
                  <c:v>Reservada              </c:v>
                </c:pt>
                <c:pt idx="3">
                  <c:v>Confidencial            </c:v>
                </c:pt>
              </c:strCache>
            </c:strRef>
          </c:cat>
          <c:val>
            <c:numRef>
              <c:f>Abril24!$D$27:$D$30</c:f>
              <c:numCache>
                <c:formatCode>General</c:formatCode>
                <c:ptCount val="4"/>
                <c:pt idx="0">
                  <c:v>28</c:v>
                </c:pt>
                <c:pt idx="1">
                  <c:v>900</c:v>
                </c:pt>
                <c:pt idx="2">
                  <c:v>3</c:v>
                </c:pt>
                <c:pt idx="3">
                  <c:v>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472576"/>
        <c:axId val="174482560"/>
      </c:barChart>
      <c:catAx>
        <c:axId val="1744725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s-MX"/>
          </a:p>
        </c:txPr>
        <c:crossAx val="174482560"/>
        <c:crosses val="autoZero"/>
        <c:auto val="1"/>
        <c:lblAlgn val="r"/>
        <c:lblOffset val="100"/>
        <c:noMultiLvlLbl val="0"/>
      </c:catAx>
      <c:valAx>
        <c:axId val="17448256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44725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Abril24!$C$42:$C$46</c:f>
              <c:strCache>
                <c:ptCount val="5"/>
                <c:pt idx="0">
                  <c:v>Personales</c:v>
                </c:pt>
                <c:pt idx="1">
                  <c:v>Electrónicas</c:v>
                </c:pt>
                <c:pt idx="2">
                  <c:v>Telefónica</c:v>
                </c:pt>
                <c:pt idx="3">
                  <c:v>Correo electrónico</c:v>
                </c:pt>
                <c:pt idx="4">
                  <c:v>Estrados</c:v>
                </c:pt>
              </c:strCache>
            </c:strRef>
          </c:cat>
          <c:val>
            <c:numRef>
              <c:f>Abril24!$D$42:$D$46</c:f>
              <c:numCache>
                <c:formatCode>General</c:formatCode>
                <c:ptCount val="5"/>
                <c:pt idx="0">
                  <c:v>35</c:v>
                </c:pt>
                <c:pt idx="1">
                  <c:v>1100</c:v>
                </c:pt>
                <c:pt idx="2">
                  <c:v>0</c:v>
                </c:pt>
                <c:pt idx="3">
                  <c:v>73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532096"/>
        <c:axId val="174533632"/>
      </c:barChart>
      <c:catAx>
        <c:axId val="1745320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4533632"/>
        <c:crosses val="autoZero"/>
        <c:auto val="1"/>
        <c:lblAlgn val="ctr"/>
        <c:lblOffset val="100"/>
        <c:noMultiLvlLbl val="0"/>
      </c:catAx>
      <c:valAx>
        <c:axId val="17453363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453209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Abril24!$C$57:$C$61</c:f>
              <c:strCache>
                <c:ptCount val="5"/>
                <c:pt idx="0">
                  <c:v>Consulta directa personal</c:v>
                </c:pt>
                <c:pt idx="1">
                  <c:v>Consulta directa electrónica</c:v>
                </c:pt>
                <c:pt idx="2">
                  <c:v>Reproducción de documentos</c:v>
                </c:pt>
                <c:pt idx="3">
                  <c:v>Elaboración de informes</c:v>
                </c:pt>
                <c:pt idx="4">
                  <c:v>Combinación de las anteriores</c:v>
                </c:pt>
              </c:strCache>
            </c:strRef>
          </c:cat>
          <c:val>
            <c:numRef>
              <c:f>Abril24!$D$57:$D$61</c:f>
              <c:numCache>
                <c:formatCode>General</c:formatCode>
                <c:ptCount val="5"/>
                <c:pt idx="0">
                  <c:v>1</c:v>
                </c:pt>
                <c:pt idx="1">
                  <c:v>958</c:v>
                </c:pt>
                <c:pt idx="2">
                  <c:v>416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545920"/>
        <c:axId val="174568192"/>
      </c:barChart>
      <c:catAx>
        <c:axId val="1745459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4568192"/>
        <c:crosses val="autoZero"/>
        <c:auto val="1"/>
        <c:lblAlgn val="ctr"/>
        <c:lblOffset val="100"/>
        <c:noMultiLvlLbl val="0"/>
      </c:catAx>
      <c:valAx>
        <c:axId val="17456819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454592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Mayo24!$C$8:$C$14</c:f>
              <c:strCache>
                <c:ptCount val="7"/>
                <c:pt idx="0">
                  <c:v>Afirmativa</c:v>
                </c:pt>
                <c:pt idx="1">
                  <c:v>Afirmativa parcial</c:v>
                </c:pt>
                <c:pt idx="2">
                  <c:v>Negativa</c:v>
                </c:pt>
                <c:pt idx="3">
                  <c:v>Acuerdos de no competencia</c:v>
                </c:pt>
                <c:pt idx="4">
                  <c:v>Prevenciones</c:v>
                </c:pt>
                <c:pt idx="5">
                  <c:v>Canceladas</c:v>
                </c:pt>
                <c:pt idx="6">
                  <c:v>Derecho ARCO</c:v>
                </c:pt>
              </c:strCache>
            </c:strRef>
          </c:cat>
          <c:val>
            <c:numRef>
              <c:f>Mayo24!$D$8:$D$14</c:f>
              <c:numCache>
                <c:formatCode>General</c:formatCode>
                <c:ptCount val="7"/>
                <c:pt idx="0">
                  <c:v>360</c:v>
                </c:pt>
                <c:pt idx="1">
                  <c:v>413</c:v>
                </c:pt>
                <c:pt idx="2">
                  <c:v>205</c:v>
                </c:pt>
                <c:pt idx="3">
                  <c:v>17</c:v>
                </c:pt>
                <c:pt idx="4">
                  <c:v>3</c:v>
                </c:pt>
                <c:pt idx="5" formatCode="0">
                  <c:v>0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74626688"/>
        <c:axId val="174850816"/>
      </c:barChart>
      <c:catAx>
        <c:axId val="174626688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Times New Roman" pitchFamily="18" charset="0"/>
                <a:cs typeface="Times New Roman" pitchFamily="18" charset="0"/>
              </a:defRPr>
            </a:pPr>
            <a:endParaRPr lang="es-MX"/>
          </a:p>
        </c:txPr>
        <c:crossAx val="174850816"/>
        <c:crosses val="autoZero"/>
        <c:auto val="1"/>
        <c:lblAlgn val="ctr"/>
        <c:lblOffset val="100"/>
        <c:noMultiLvlLbl val="0"/>
      </c:catAx>
      <c:valAx>
        <c:axId val="1748508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462668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Mayo24!$C$27:$C$30</c:f>
              <c:strCache>
                <c:ptCount val="4"/>
                <c:pt idx="0">
                  <c:v>Fundamental        </c:v>
                </c:pt>
                <c:pt idx="1">
                  <c:v>Ordinaria y de libre acceso</c:v>
                </c:pt>
                <c:pt idx="2">
                  <c:v>Reservada              </c:v>
                </c:pt>
                <c:pt idx="3">
                  <c:v>Confidencial            </c:v>
                </c:pt>
              </c:strCache>
            </c:strRef>
          </c:cat>
          <c:val>
            <c:numRef>
              <c:f>Mayo24!$D$27:$D$30</c:f>
              <c:numCache>
                <c:formatCode>General</c:formatCode>
                <c:ptCount val="4"/>
                <c:pt idx="0">
                  <c:v>14</c:v>
                </c:pt>
                <c:pt idx="1">
                  <c:v>724</c:v>
                </c:pt>
                <c:pt idx="2">
                  <c:v>0</c:v>
                </c:pt>
                <c:pt idx="3">
                  <c:v>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879488"/>
        <c:axId val="174881024"/>
      </c:barChart>
      <c:catAx>
        <c:axId val="1748794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s-MX"/>
          </a:p>
        </c:txPr>
        <c:crossAx val="174881024"/>
        <c:crosses val="autoZero"/>
        <c:auto val="1"/>
        <c:lblAlgn val="r"/>
        <c:lblOffset val="100"/>
        <c:noMultiLvlLbl val="0"/>
      </c:catAx>
      <c:valAx>
        <c:axId val="17488102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48794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Mayo24!$C$42:$C$46</c:f>
              <c:strCache>
                <c:ptCount val="5"/>
                <c:pt idx="0">
                  <c:v>Personales</c:v>
                </c:pt>
                <c:pt idx="1">
                  <c:v>Electrónicas</c:v>
                </c:pt>
                <c:pt idx="2">
                  <c:v>Telefónica</c:v>
                </c:pt>
                <c:pt idx="3">
                  <c:v>Correo electrónico</c:v>
                </c:pt>
                <c:pt idx="4">
                  <c:v>Estrados</c:v>
                </c:pt>
              </c:strCache>
            </c:strRef>
          </c:cat>
          <c:val>
            <c:numRef>
              <c:f>Mayo24!$D$42:$D$46</c:f>
              <c:numCache>
                <c:formatCode>General</c:formatCode>
                <c:ptCount val="5"/>
                <c:pt idx="0">
                  <c:v>50</c:v>
                </c:pt>
                <c:pt idx="1">
                  <c:v>899</c:v>
                </c:pt>
                <c:pt idx="2">
                  <c:v>0</c:v>
                </c:pt>
                <c:pt idx="3">
                  <c:v>49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889216"/>
        <c:axId val="174903296"/>
      </c:barChart>
      <c:catAx>
        <c:axId val="1748892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4903296"/>
        <c:crosses val="autoZero"/>
        <c:auto val="1"/>
        <c:lblAlgn val="ctr"/>
        <c:lblOffset val="100"/>
        <c:noMultiLvlLbl val="0"/>
      </c:catAx>
      <c:valAx>
        <c:axId val="17490329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488921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Mayo24!$C$57:$C$61</c:f>
              <c:strCache>
                <c:ptCount val="5"/>
                <c:pt idx="0">
                  <c:v>Consulta directa personal</c:v>
                </c:pt>
                <c:pt idx="1">
                  <c:v>Consulta directa electrónica</c:v>
                </c:pt>
                <c:pt idx="2">
                  <c:v>Reproducción de documentos</c:v>
                </c:pt>
                <c:pt idx="3">
                  <c:v>Elaboración de informes</c:v>
                </c:pt>
                <c:pt idx="4">
                  <c:v>Combinación de las anteriores</c:v>
                </c:pt>
              </c:strCache>
            </c:strRef>
          </c:cat>
          <c:val>
            <c:numRef>
              <c:f>Mayo24!$D$57:$D$61</c:f>
              <c:numCache>
                <c:formatCode>General</c:formatCode>
                <c:ptCount val="5"/>
                <c:pt idx="0">
                  <c:v>0</c:v>
                </c:pt>
                <c:pt idx="1">
                  <c:v>773</c:v>
                </c:pt>
                <c:pt idx="2">
                  <c:v>682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944256"/>
        <c:axId val="174945792"/>
      </c:barChart>
      <c:catAx>
        <c:axId val="1749442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4945792"/>
        <c:crosses val="autoZero"/>
        <c:auto val="1"/>
        <c:lblAlgn val="ctr"/>
        <c:lblOffset val="100"/>
        <c:noMultiLvlLbl val="0"/>
      </c:catAx>
      <c:valAx>
        <c:axId val="17494579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494425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Junio24!$C$8:$C$14</c:f>
              <c:strCache>
                <c:ptCount val="7"/>
                <c:pt idx="0">
                  <c:v>Afirmativa</c:v>
                </c:pt>
                <c:pt idx="1">
                  <c:v>Afirmativa parcial</c:v>
                </c:pt>
                <c:pt idx="2">
                  <c:v>Negativa</c:v>
                </c:pt>
                <c:pt idx="3">
                  <c:v>Acuerdos de no competencia</c:v>
                </c:pt>
                <c:pt idx="4">
                  <c:v>Prevenciones</c:v>
                </c:pt>
                <c:pt idx="5">
                  <c:v>Canceladas</c:v>
                </c:pt>
                <c:pt idx="6">
                  <c:v>Derecho ARCO</c:v>
                </c:pt>
              </c:strCache>
            </c:strRef>
          </c:cat>
          <c:val>
            <c:numRef>
              <c:f>Junio24!$D$8:$D$14</c:f>
              <c:numCache>
                <c:formatCode>General</c:formatCode>
                <c:ptCount val="7"/>
                <c:pt idx="0">
                  <c:v>329</c:v>
                </c:pt>
                <c:pt idx="1">
                  <c:v>373</c:v>
                </c:pt>
                <c:pt idx="2">
                  <c:v>170</c:v>
                </c:pt>
                <c:pt idx="3">
                  <c:v>13</c:v>
                </c:pt>
                <c:pt idx="4">
                  <c:v>5</c:v>
                </c:pt>
                <c:pt idx="5" formatCode="0">
                  <c:v>0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75057536"/>
        <c:axId val="175064576"/>
      </c:barChart>
      <c:catAx>
        <c:axId val="175057536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Times New Roman" pitchFamily="18" charset="0"/>
                <a:cs typeface="Times New Roman" pitchFamily="18" charset="0"/>
              </a:defRPr>
            </a:pPr>
            <a:endParaRPr lang="es-MX"/>
          </a:p>
        </c:txPr>
        <c:crossAx val="175064576"/>
        <c:crosses val="autoZero"/>
        <c:auto val="1"/>
        <c:lblAlgn val="ctr"/>
        <c:lblOffset val="100"/>
        <c:noMultiLvlLbl val="0"/>
      </c:catAx>
      <c:valAx>
        <c:axId val="1750645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505753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Junio24!$C$27:$C$30</c:f>
              <c:strCache>
                <c:ptCount val="4"/>
                <c:pt idx="0">
                  <c:v>Fundamental        </c:v>
                </c:pt>
                <c:pt idx="1">
                  <c:v>Ordinaria y de libre acceso</c:v>
                </c:pt>
                <c:pt idx="2">
                  <c:v>Reservada              </c:v>
                </c:pt>
                <c:pt idx="3">
                  <c:v>Confidencial            </c:v>
                </c:pt>
              </c:strCache>
            </c:strRef>
          </c:cat>
          <c:val>
            <c:numRef>
              <c:f>Junio24!$D$27:$D$30</c:f>
              <c:numCache>
                <c:formatCode>General</c:formatCode>
                <c:ptCount val="4"/>
                <c:pt idx="0">
                  <c:v>25</c:v>
                </c:pt>
                <c:pt idx="1">
                  <c:v>638</c:v>
                </c:pt>
                <c:pt idx="2">
                  <c:v>0</c:v>
                </c:pt>
                <c:pt idx="3">
                  <c:v>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088768"/>
        <c:axId val="175090304"/>
      </c:barChart>
      <c:catAx>
        <c:axId val="1750887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s-MX"/>
          </a:p>
        </c:txPr>
        <c:crossAx val="175090304"/>
        <c:crosses val="autoZero"/>
        <c:auto val="1"/>
        <c:lblAlgn val="r"/>
        <c:lblOffset val="100"/>
        <c:noMultiLvlLbl val="0"/>
      </c:catAx>
      <c:valAx>
        <c:axId val="17509030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50887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Junio24!$C$42:$C$46</c:f>
              <c:strCache>
                <c:ptCount val="5"/>
                <c:pt idx="0">
                  <c:v>Personales</c:v>
                </c:pt>
                <c:pt idx="1">
                  <c:v>Electrónicas</c:v>
                </c:pt>
                <c:pt idx="2">
                  <c:v>Telefónica</c:v>
                </c:pt>
                <c:pt idx="3">
                  <c:v>Correo electrónico</c:v>
                </c:pt>
                <c:pt idx="4">
                  <c:v>Estrados</c:v>
                </c:pt>
              </c:strCache>
            </c:strRef>
          </c:cat>
          <c:val>
            <c:numRef>
              <c:f>Junio24!$D$42:$D$46</c:f>
              <c:numCache>
                <c:formatCode>General</c:formatCode>
                <c:ptCount val="5"/>
                <c:pt idx="0">
                  <c:v>35</c:v>
                </c:pt>
                <c:pt idx="1">
                  <c:v>812</c:v>
                </c:pt>
                <c:pt idx="2">
                  <c:v>0</c:v>
                </c:pt>
                <c:pt idx="3">
                  <c:v>43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213184"/>
        <c:axId val="175214976"/>
      </c:barChart>
      <c:catAx>
        <c:axId val="1752131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5214976"/>
        <c:crosses val="autoZero"/>
        <c:auto val="1"/>
        <c:lblAlgn val="ctr"/>
        <c:lblOffset val="100"/>
        <c:noMultiLvlLbl val="0"/>
      </c:catAx>
      <c:valAx>
        <c:axId val="17521497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521318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Junio24!$C$57:$C$61</c:f>
              <c:strCache>
                <c:ptCount val="5"/>
                <c:pt idx="0">
                  <c:v>Consulta directa personal</c:v>
                </c:pt>
                <c:pt idx="1">
                  <c:v>Consulta directa electrónica</c:v>
                </c:pt>
                <c:pt idx="2">
                  <c:v>Reproducción de documentos</c:v>
                </c:pt>
                <c:pt idx="3">
                  <c:v>Elaboración de informes</c:v>
                </c:pt>
                <c:pt idx="4">
                  <c:v>Combinación de las anteriores</c:v>
                </c:pt>
              </c:strCache>
            </c:strRef>
          </c:cat>
          <c:val>
            <c:numRef>
              <c:f>Junio24!$D$57:$D$61</c:f>
              <c:numCache>
                <c:formatCode>General</c:formatCode>
                <c:ptCount val="5"/>
                <c:pt idx="0">
                  <c:v>0</c:v>
                </c:pt>
                <c:pt idx="1">
                  <c:v>702</c:v>
                </c:pt>
                <c:pt idx="2">
                  <c:v>270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247744"/>
        <c:axId val="175249280"/>
      </c:barChart>
      <c:catAx>
        <c:axId val="1752477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5249280"/>
        <c:crosses val="autoZero"/>
        <c:auto val="1"/>
        <c:lblAlgn val="ctr"/>
        <c:lblOffset val="100"/>
        <c:noMultiLvlLbl val="0"/>
      </c:catAx>
      <c:valAx>
        <c:axId val="17524928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524774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Julio24!$C$8:$C$14</c:f>
              <c:strCache>
                <c:ptCount val="7"/>
                <c:pt idx="0">
                  <c:v>Afirmativa</c:v>
                </c:pt>
                <c:pt idx="1">
                  <c:v>Afirmativa parcial</c:v>
                </c:pt>
                <c:pt idx="2">
                  <c:v>Negativa</c:v>
                </c:pt>
                <c:pt idx="3">
                  <c:v>Acuerdos de no competencia</c:v>
                </c:pt>
                <c:pt idx="4">
                  <c:v>Prevenciones</c:v>
                </c:pt>
                <c:pt idx="5">
                  <c:v>Canceladas</c:v>
                </c:pt>
                <c:pt idx="6">
                  <c:v>Derecho ARCO</c:v>
                </c:pt>
              </c:strCache>
            </c:strRef>
          </c:cat>
          <c:val>
            <c:numRef>
              <c:f>Julio24!$D$8:$D$14</c:f>
              <c:numCache>
                <c:formatCode>General</c:formatCode>
                <c:ptCount val="7"/>
                <c:pt idx="0">
                  <c:v>333</c:v>
                </c:pt>
                <c:pt idx="1">
                  <c:v>352</c:v>
                </c:pt>
                <c:pt idx="2">
                  <c:v>179</c:v>
                </c:pt>
                <c:pt idx="3">
                  <c:v>8</c:v>
                </c:pt>
                <c:pt idx="4">
                  <c:v>3</c:v>
                </c:pt>
                <c:pt idx="5" formatCode="0">
                  <c:v>0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75303680"/>
        <c:axId val="175576960"/>
      </c:barChart>
      <c:catAx>
        <c:axId val="175303680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Times New Roman" pitchFamily="18" charset="0"/>
                <a:cs typeface="Times New Roman" pitchFamily="18" charset="0"/>
              </a:defRPr>
            </a:pPr>
            <a:endParaRPr lang="es-MX"/>
          </a:p>
        </c:txPr>
        <c:crossAx val="175576960"/>
        <c:crosses val="autoZero"/>
        <c:auto val="1"/>
        <c:lblAlgn val="ctr"/>
        <c:lblOffset val="100"/>
        <c:noMultiLvlLbl val="0"/>
      </c:catAx>
      <c:valAx>
        <c:axId val="1755769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530368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Julio24!$C$27:$C$30</c:f>
              <c:strCache>
                <c:ptCount val="4"/>
                <c:pt idx="0">
                  <c:v>Fundamental        </c:v>
                </c:pt>
                <c:pt idx="1">
                  <c:v>Ordinaria y de libre acceso</c:v>
                </c:pt>
                <c:pt idx="2">
                  <c:v>Reservada              </c:v>
                </c:pt>
                <c:pt idx="3">
                  <c:v>Confidencial            </c:v>
                </c:pt>
              </c:strCache>
            </c:strRef>
          </c:cat>
          <c:val>
            <c:numRef>
              <c:f>Julio24!$D$27:$D$30</c:f>
              <c:numCache>
                <c:formatCode>General</c:formatCode>
                <c:ptCount val="4"/>
                <c:pt idx="0">
                  <c:v>22</c:v>
                </c:pt>
                <c:pt idx="1">
                  <c:v>636</c:v>
                </c:pt>
                <c:pt idx="2">
                  <c:v>0</c:v>
                </c:pt>
                <c:pt idx="3">
                  <c:v>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609728"/>
        <c:axId val="175611264"/>
      </c:barChart>
      <c:catAx>
        <c:axId val="1756097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s-MX"/>
          </a:p>
        </c:txPr>
        <c:crossAx val="175611264"/>
        <c:crosses val="autoZero"/>
        <c:auto val="1"/>
        <c:lblAlgn val="r"/>
        <c:lblOffset val="100"/>
        <c:noMultiLvlLbl val="0"/>
      </c:catAx>
      <c:valAx>
        <c:axId val="17561126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560972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Julio24!$C$42:$C$46</c:f>
              <c:strCache>
                <c:ptCount val="5"/>
                <c:pt idx="0">
                  <c:v>Personales</c:v>
                </c:pt>
                <c:pt idx="1">
                  <c:v>Electrónicas</c:v>
                </c:pt>
                <c:pt idx="2">
                  <c:v>Telefónica</c:v>
                </c:pt>
                <c:pt idx="3">
                  <c:v>Correo electrónico</c:v>
                </c:pt>
                <c:pt idx="4">
                  <c:v>Estrados</c:v>
                </c:pt>
              </c:strCache>
            </c:strRef>
          </c:cat>
          <c:val>
            <c:numRef>
              <c:f>Julio24!$D$42:$D$46</c:f>
              <c:numCache>
                <c:formatCode>General</c:formatCode>
                <c:ptCount val="5"/>
                <c:pt idx="0">
                  <c:v>30</c:v>
                </c:pt>
                <c:pt idx="1">
                  <c:v>792</c:v>
                </c:pt>
                <c:pt idx="2">
                  <c:v>0</c:v>
                </c:pt>
                <c:pt idx="3">
                  <c:v>53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623552"/>
        <c:axId val="175309952"/>
      </c:barChart>
      <c:catAx>
        <c:axId val="1756235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5309952"/>
        <c:crosses val="autoZero"/>
        <c:auto val="1"/>
        <c:lblAlgn val="ctr"/>
        <c:lblOffset val="100"/>
        <c:noMultiLvlLbl val="0"/>
      </c:catAx>
      <c:valAx>
        <c:axId val="17530995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562355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Julio24!$C$57:$C$61</c:f>
              <c:strCache>
                <c:ptCount val="5"/>
                <c:pt idx="0">
                  <c:v>Consulta directa personal</c:v>
                </c:pt>
                <c:pt idx="1">
                  <c:v>Consulta directa electrónica</c:v>
                </c:pt>
                <c:pt idx="2">
                  <c:v>Reproducción de documentos</c:v>
                </c:pt>
                <c:pt idx="3">
                  <c:v>Elaboración de informes</c:v>
                </c:pt>
                <c:pt idx="4">
                  <c:v>Combinación de las anteriores</c:v>
                </c:pt>
              </c:strCache>
            </c:strRef>
          </c:cat>
          <c:val>
            <c:numRef>
              <c:f>Julio24!$D$57:$D$61</c:f>
              <c:numCache>
                <c:formatCode>General</c:formatCode>
                <c:ptCount val="5"/>
                <c:pt idx="0">
                  <c:v>0</c:v>
                </c:pt>
                <c:pt idx="1">
                  <c:v>685</c:v>
                </c:pt>
                <c:pt idx="2">
                  <c:v>257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350912"/>
        <c:axId val="175352448"/>
      </c:barChart>
      <c:catAx>
        <c:axId val="1753509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5352448"/>
        <c:crosses val="autoZero"/>
        <c:auto val="1"/>
        <c:lblAlgn val="ctr"/>
        <c:lblOffset val="100"/>
        <c:noMultiLvlLbl val="0"/>
      </c:catAx>
      <c:valAx>
        <c:axId val="17535244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535091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Agosto24!$C$8:$C$14</c:f>
              <c:strCache>
                <c:ptCount val="7"/>
                <c:pt idx="0">
                  <c:v>Afirmativa</c:v>
                </c:pt>
                <c:pt idx="1">
                  <c:v>Afirmativa parcial</c:v>
                </c:pt>
                <c:pt idx="2">
                  <c:v>Negativa</c:v>
                </c:pt>
                <c:pt idx="3">
                  <c:v>Acuerdos de no competencia</c:v>
                </c:pt>
                <c:pt idx="4">
                  <c:v>Prevenciones</c:v>
                </c:pt>
                <c:pt idx="5">
                  <c:v>Canceladas</c:v>
                </c:pt>
                <c:pt idx="6">
                  <c:v>Derecho ARCO</c:v>
                </c:pt>
              </c:strCache>
            </c:strRef>
          </c:cat>
          <c:val>
            <c:numRef>
              <c:f>Agosto24!$D$8:$D$14</c:f>
              <c:numCache>
                <c:formatCode>General</c:formatCode>
                <c:ptCount val="7"/>
                <c:pt idx="0">
                  <c:v>342</c:v>
                </c:pt>
                <c:pt idx="1">
                  <c:v>458</c:v>
                </c:pt>
                <c:pt idx="2">
                  <c:v>185</c:v>
                </c:pt>
                <c:pt idx="3">
                  <c:v>6</c:v>
                </c:pt>
                <c:pt idx="4">
                  <c:v>6</c:v>
                </c:pt>
                <c:pt idx="5" formatCode="0">
                  <c:v>0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75407104"/>
        <c:axId val="175409792"/>
      </c:barChart>
      <c:catAx>
        <c:axId val="175407104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Times New Roman" pitchFamily="18" charset="0"/>
                <a:cs typeface="Times New Roman" pitchFamily="18" charset="0"/>
              </a:defRPr>
            </a:pPr>
            <a:endParaRPr lang="es-MX"/>
          </a:p>
        </c:txPr>
        <c:crossAx val="175409792"/>
        <c:crosses val="autoZero"/>
        <c:auto val="1"/>
        <c:lblAlgn val="ctr"/>
        <c:lblOffset val="100"/>
        <c:noMultiLvlLbl val="0"/>
      </c:catAx>
      <c:valAx>
        <c:axId val="1754097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540710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Agosto24!$C$27:$C$30</c:f>
              <c:strCache>
                <c:ptCount val="4"/>
                <c:pt idx="0">
                  <c:v>Fundamental        </c:v>
                </c:pt>
                <c:pt idx="1">
                  <c:v>Ordinaria y de libre acceso</c:v>
                </c:pt>
                <c:pt idx="2">
                  <c:v>Reservada              </c:v>
                </c:pt>
                <c:pt idx="3">
                  <c:v>Confidencial            </c:v>
                </c:pt>
              </c:strCache>
            </c:strRef>
          </c:cat>
          <c:val>
            <c:numRef>
              <c:f>Agosto24!$D$27:$D$30</c:f>
              <c:numCache>
                <c:formatCode>General</c:formatCode>
                <c:ptCount val="4"/>
                <c:pt idx="0">
                  <c:v>21</c:v>
                </c:pt>
                <c:pt idx="1">
                  <c:v>728</c:v>
                </c:pt>
                <c:pt idx="2">
                  <c:v>0</c:v>
                </c:pt>
                <c:pt idx="3">
                  <c:v>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434368"/>
        <c:axId val="175440256"/>
      </c:barChart>
      <c:catAx>
        <c:axId val="1754343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s-MX"/>
          </a:p>
        </c:txPr>
        <c:crossAx val="175440256"/>
        <c:crosses val="autoZero"/>
        <c:auto val="1"/>
        <c:lblAlgn val="r"/>
        <c:lblOffset val="100"/>
        <c:noMultiLvlLbl val="0"/>
      </c:catAx>
      <c:valAx>
        <c:axId val="17544025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54343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Agosto24!$C$42:$C$46</c:f>
              <c:strCache>
                <c:ptCount val="5"/>
                <c:pt idx="0">
                  <c:v>Personales</c:v>
                </c:pt>
                <c:pt idx="1">
                  <c:v>Electrónicas</c:v>
                </c:pt>
                <c:pt idx="2">
                  <c:v>Telefónica</c:v>
                </c:pt>
                <c:pt idx="3">
                  <c:v>Correo electrónico</c:v>
                </c:pt>
                <c:pt idx="4">
                  <c:v>Estrados</c:v>
                </c:pt>
              </c:strCache>
            </c:strRef>
          </c:cat>
          <c:val>
            <c:numRef>
              <c:f>Agosto24!$D$42:$D$46</c:f>
              <c:numCache>
                <c:formatCode>General</c:formatCode>
                <c:ptCount val="5"/>
                <c:pt idx="0">
                  <c:v>31</c:v>
                </c:pt>
                <c:pt idx="1">
                  <c:v>929</c:v>
                </c:pt>
                <c:pt idx="2">
                  <c:v>0</c:v>
                </c:pt>
                <c:pt idx="3">
                  <c:v>37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468928"/>
        <c:axId val="175470464"/>
      </c:barChart>
      <c:catAx>
        <c:axId val="1754689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5470464"/>
        <c:crosses val="autoZero"/>
        <c:auto val="1"/>
        <c:lblAlgn val="ctr"/>
        <c:lblOffset val="100"/>
        <c:noMultiLvlLbl val="0"/>
      </c:catAx>
      <c:valAx>
        <c:axId val="17547046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546892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Agosto24!$C$57:$C$61</c:f>
              <c:strCache>
                <c:ptCount val="5"/>
                <c:pt idx="0">
                  <c:v>Consulta directa personal</c:v>
                </c:pt>
                <c:pt idx="1">
                  <c:v>Consulta directa electrónica</c:v>
                </c:pt>
                <c:pt idx="2">
                  <c:v>Reproducción de documentos</c:v>
                </c:pt>
                <c:pt idx="3">
                  <c:v>Elaboración de informes</c:v>
                </c:pt>
                <c:pt idx="4">
                  <c:v>Combinación de las anteriores</c:v>
                </c:pt>
              </c:strCache>
            </c:strRef>
          </c:cat>
          <c:val>
            <c:numRef>
              <c:f>Agosto24!$D$57:$D$61</c:f>
              <c:numCache>
                <c:formatCode>General</c:formatCode>
                <c:ptCount val="5"/>
                <c:pt idx="0">
                  <c:v>4</c:v>
                </c:pt>
                <c:pt idx="1">
                  <c:v>796</c:v>
                </c:pt>
                <c:pt idx="2">
                  <c:v>323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708032"/>
        <c:axId val="175709568"/>
      </c:barChart>
      <c:catAx>
        <c:axId val="1757080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5709568"/>
        <c:crosses val="autoZero"/>
        <c:auto val="1"/>
        <c:lblAlgn val="ctr"/>
        <c:lblOffset val="100"/>
        <c:noMultiLvlLbl val="0"/>
      </c:catAx>
      <c:valAx>
        <c:axId val="17570956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570803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Septiembre24!$C$8:$C$14</c:f>
              <c:strCache>
                <c:ptCount val="7"/>
                <c:pt idx="0">
                  <c:v>Afirmativa</c:v>
                </c:pt>
                <c:pt idx="1">
                  <c:v>Afirmativa parcial</c:v>
                </c:pt>
                <c:pt idx="2">
                  <c:v>Negativa</c:v>
                </c:pt>
                <c:pt idx="3">
                  <c:v>Acuerdos de no competencia</c:v>
                </c:pt>
                <c:pt idx="4">
                  <c:v>Prevenciones</c:v>
                </c:pt>
                <c:pt idx="5">
                  <c:v>Canceladas</c:v>
                </c:pt>
                <c:pt idx="6">
                  <c:v>Derecho ARCO</c:v>
                </c:pt>
              </c:strCache>
            </c:strRef>
          </c:cat>
          <c:val>
            <c:numRef>
              <c:f>Septiembre24!$D$8:$D$14</c:f>
              <c:numCache>
                <c:formatCode>General</c:formatCode>
                <c:ptCount val="7"/>
                <c:pt idx="0">
                  <c:v>333</c:v>
                </c:pt>
                <c:pt idx="1">
                  <c:v>308</c:v>
                </c:pt>
                <c:pt idx="2">
                  <c:v>193</c:v>
                </c:pt>
                <c:pt idx="3">
                  <c:v>14</c:v>
                </c:pt>
                <c:pt idx="4">
                  <c:v>12</c:v>
                </c:pt>
                <c:pt idx="5" formatCode="0">
                  <c:v>0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75792896"/>
        <c:axId val="175795584"/>
      </c:barChart>
      <c:catAx>
        <c:axId val="175792896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Times New Roman" pitchFamily="18" charset="0"/>
                <a:cs typeface="Times New Roman" pitchFamily="18" charset="0"/>
              </a:defRPr>
            </a:pPr>
            <a:endParaRPr lang="es-MX"/>
          </a:p>
        </c:txPr>
        <c:crossAx val="175795584"/>
        <c:crosses val="autoZero"/>
        <c:auto val="1"/>
        <c:lblAlgn val="ctr"/>
        <c:lblOffset val="100"/>
        <c:noMultiLvlLbl val="0"/>
      </c:catAx>
      <c:valAx>
        <c:axId val="1757955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579289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Septiembre24!$C$27:$C$30</c:f>
              <c:strCache>
                <c:ptCount val="4"/>
                <c:pt idx="0">
                  <c:v>Fundamental        </c:v>
                </c:pt>
                <c:pt idx="1">
                  <c:v>Ordinaria y de libre acceso</c:v>
                </c:pt>
                <c:pt idx="2">
                  <c:v>Reservada              </c:v>
                </c:pt>
                <c:pt idx="3">
                  <c:v>Confidencial            </c:v>
                </c:pt>
              </c:strCache>
            </c:strRef>
          </c:cat>
          <c:val>
            <c:numRef>
              <c:f>Septiembre24!$D$27:$D$30</c:f>
              <c:numCache>
                <c:formatCode>General</c:formatCode>
                <c:ptCount val="4"/>
                <c:pt idx="0">
                  <c:v>15</c:v>
                </c:pt>
                <c:pt idx="1">
                  <c:v>608</c:v>
                </c:pt>
                <c:pt idx="2">
                  <c:v>1</c:v>
                </c:pt>
                <c:pt idx="3">
                  <c:v>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820160"/>
        <c:axId val="175826048"/>
      </c:barChart>
      <c:catAx>
        <c:axId val="1758201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s-MX"/>
          </a:p>
        </c:txPr>
        <c:crossAx val="175826048"/>
        <c:crosses val="autoZero"/>
        <c:auto val="1"/>
        <c:lblAlgn val="r"/>
        <c:lblOffset val="100"/>
        <c:noMultiLvlLbl val="0"/>
      </c:catAx>
      <c:valAx>
        <c:axId val="17582604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58201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Septiembre24!$C$42:$C$46</c:f>
              <c:strCache>
                <c:ptCount val="5"/>
                <c:pt idx="0">
                  <c:v>Personales</c:v>
                </c:pt>
                <c:pt idx="1">
                  <c:v>Electrónicas</c:v>
                </c:pt>
                <c:pt idx="2">
                  <c:v>Telefónica</c:v>
                </c:pt>
                <c:pt idx="3">
                  <c:v>Correo electrónico</c:v>
                </c:pt>
                <c:pt idx="4">
                  <c:v>Estrados</c:v>
                </c:pt>
              </c:strCache>
            </c:strRef>
          </c:cat>
          <c:val>
            <c:numRef>
              <c:f>Septiembre24!$D$42:$D$46</c:f>
              <c:numCache>
                <c:formatCode>General</c:formatCode>
                <c:ptCount val="5"/>
                <c:pt idx="0">
                  <c:v>22</c:v>
                </c:pt>
                <c:pt idx="1">
                  <c:v>803</c:v>
                </c:pt>
                <c:pt idx="2">
                  <c:v>0</c:v>
                </c:pt>
                <c:pt idx="3">
                  <c:v>35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862912"/>
        <c:axId val="175864448"/>
      </c:barChart>
      <c:catAx>
        <c:axId val="1758629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5864448"/>
        <c:crosses val="autoZero"/>
        <c:auto val="1"/>
        <c:lblAlgn val="ctr"/>
        <c:lblOffset val="100"/>
        <c:noMultiLvlLbl val="0"/>
      </c:catAx>
      <c:valAx>
        <c:axId val="17586444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586291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Septiembre24!$C$57:$C$61</c:f>
              <c:strCache>
                <c:ptCount val="5"/>
                <c:pt idx="0">
                  <c:v>Consulta directa personal</c:v>
                </c:pt>
                <c:pt idx="1">
                  <c:v>Consulta directa electrónica</c:v>
                </c:pt>
                <c:pt idx="2">
                  <c:v>Reproducción de documentos</c:v>
                </c:pt>
                <c:pt idx="3">
                  <c:v>Elaboración de informes</c:v>
                </c:pt>
                <c:pt idx="4">
                  <c:v>Combinación de las anteriores</c:v>
                </c:pt>
              </c:strCache>
            </c:strRef>
          </c:cat>
          <c:val>
            <c:numRef>
              <c:f>Septiembre24!$D$57:$D$61</c:f>
              <c:numCache>
                <c:formatCode>General</c:formatCode>
                <c:ptCount val="5"/>
                <c:pt idx="0">
                  <c:v>0</c:v>
                </c:pt>
                <c:pt idx="1">
                  <c:v>641</c:v>
                </c:pt>
                <c:pt idx="2">
                  <c:v>301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889024"/>
        <c:axId val="175899008"/>
      </c:barChart>
      <c:catAx>
        <c:axId val="1758890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5899008"/>
        <c:crosses val="autoZero"/>
        <c:auto val="1"/>
        <c:lblAlgn val="ctr"/>
        <c:lblOffset val="100"/>
        <c:noMultiLvlLbl val="0"/>
      </c:catAx>
      <c:valAx>
        <c:axId val="17589900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588902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C9E52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Octubre24!$C$8:$C$14</c:f>
              <c:strCache>
                <c:ptCount val="7"/>
                <c:pt idx="0">
                  <c:v>Afirmativa</c:v>
                </c:pt>
                <c:pt idx="1">
                  <c:v>Afirmativa parcial</c:v>
                </c:pt>
                <c:pt idx="2">
                  <c:v>Negativa</c:v>
                </c:pt>
                <c:pt idx="3">
                  <c:v>Acuerdos de no competencia</c:v>
                </c:pt>
                <c:pt idx="4">
                  <c:v>Prevenciones</c:v>
                </c:pt>
                <c:pt idx="5">
                  <c:v>Canceladas</c:v>
                </c:pt>
                <c:pt idx="6">
                  <c:v>Derecho ARCO</c:v>
                </c:pt>
              </c:strCache>
            </c:strRef>
          </c:cat>
          <c:val>
            <c:numRef>
              <c:f>Octubre24!$D$8:$D$14</c:f>
              <c:numCache>
                <c:formatCode>General</c:formatCode>
                <c:ptCount val="7"/>
                <c:pt idx="0">
                  <c:v>377</c:v>
                </c:pt>
                <c:pt idx="1">
                  <c:v>446</c:v>
                </c:pt>
                <c:pt idx="2">
                  <c:v>212</c:v>
                </c:pt>
                <c:pt idx="3">
                  <c:v>14</c:v>
                </c:pt>
                <c:pt idx="4">
                  <c:v>11</c:v>
                </c:pt>
                <c:pt idx="5" formatCode="0">
                  <c:v>0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75932928"/>
        <c:axId val="175939968"/>
      </c:barChart>
      <c:catAx>
        <c:axId val="175932928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Times New Roman" pitchFamily="18" charset="0"/>
                <a:cs typeface="Times New Roman" pitchFamily="18" charset="0"/>
              </a:defRPr>
            </a:pPr>
            <a:endParaRPr lang="es-MX"/>
          </a:p>
        </c:txPr>
        <c:crossAx val="175939968"/>
        <c:crosses val="autoZero"/>
        <c:auto val="1"/>
        <c:lblAlgn val="ctr"/>
        <c:lblOffset val="100"/>
        <c:noMultiLvlLbl val="0"/>
      </c:catAx>
      <c:valAx>
        <c:axId val="1759399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593292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C9E52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Octubre24!$C$27:$C$30</c:f>
              <c:strCache>
                <c:ptCount val="4"/>
                <c:pt idx="0">
                  <c:v>Fundamental        </c:v>
                </c:pt>
                <c:pt idx="1">
                  <c:v>Ordinaria y de libre acceso</c:v>
                </c:pt>
                <c:pt idx="2">
                  <c:v>Reservada              </c:v>
                </c:pt>
                <c:pt idx="3">
                  <c:v>Confidencial            </c:v>
                </c:pt>
              </c:strCache>
            </c:strRef>
          </c:cat>
          <c:val>
            <c:numRef>
              <c:f>Octubre24!$D$27:$D$30</c:f>
              <c:numCache>
                <c:formatCode>General</c:formatCode>
                <c:ptCount val="4"/>
                <c:pt idx="0">
                  <c:v>73</c:v>
                </c:pt>
                <c:pt idx="1">
                  <c:v>751</c:v>
                </c:pt>
                <c:pt idx="2">
                  <c:v>1</c:v>
                </c:pt>
                <c:pt idx="3">
                  <c:v>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736576"/>
        <c:axId val="73738112"/>
      </c:barChart>
      <c:catAx>
        <c:axId val="737365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s-MX"/>
          </a:p>
        </c:txPr>
        <c:crossAx val="73738112"/>
        <c:crosses val="autoZero"/>
        <c:auto val="1"/>
        <c:lblAlgn val="r"/>
        <c:lblOffset val="100"/>
        <c:noMultiLvlLbl val="0"/>
      </c:catAx>
      <c:valAx>
        <c:axId val="7373811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737365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C9E52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Octubre24!$C$42:$C$46</c:f>
              <c:strCache>
                <c:ptCount val="5"/>
                <c:pt idx="0">
                  <c:v>Personales</c:v>
                </c:pt>
                <c:pt idx="1">
                  <c:v>Electrónicas</c:v>
                </c:pt>
                <c:pt idx="2">
                  <c:v>Telefónica</c:v>
                </c:pt>
                <c:pt idx="3">
                  <c:v>Correo electrónico</c:v>
                </c:pt>
                <c:pt idx="4">
                  <c:v>Estrados</c:v>
                </c:pt>
              </c:strCache>
            </c:strRef>
          </c:cat>
          <c:val>
            <c:numRef>
              <c:f>Octubre24!$D$42:$D$46</c:f>
              <c:numCache>
                <c:formatCode>General</c:formatCode>
                <c:ptCount val="5"/>
                <c:pt idx="0">
                  <c:v>24</c:v>
                </c:pt>
                <c:pt idx="1">
                  <c:v>946</c:v>
                </c:pt>
                <c:pt idx="2">
                  <c:v>0</c:v>
                </c:pt>
                <c:pt idx="3">
                  <c:v>90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779072"/>
        <c:axId val="73780608"/>
      </c:barChart>
      <c:catAx>
        <c:axId val="737790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3780608"/>
        <c:crosses val="autoZero"/>
        <c:auto val="1"/>
        <c:lblAlgn val="ctr"/>
        <c:lblOffset val="100"/>
        <c:noMultiLvlLbl val="0"/>
      </c:catAx>
      <c:valAx>
        <c:axId val="7378060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7377907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C9E52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Octubre24!$C$57:$C$61</c:f>
              <c:strCache>
                <c:ptCount val="5"/>
                <c:pt idx="0">
                  <c:v>Consulta directa personal</c:v>
                </c:pt>
                <c:pt idx="1">
                  <c:v>Consulta directa electrónica</c:v>
                </c:pt>
                <c:pt idx="2">
                  <c:v>Reproducción de documentos</c:v>
                </c:pt>
                <c:pt idx="3">
                  <c:v>Elaboración de informes</c:v>
                </c:pt>
                <c:pt idx="4">
                  <c:v>Combinación de las anteriores</c:v>
                </c:pt>
              </c:strCache>
            </c:strRef>
          </c:cat>
          <c:val>
            <c:numRef>
              <c:f>Octubre24!$D$57:$D$61</c:f>
              <c:numCache>
                <c:formatCode>General</c:formatCode>
                <c:ptCount val="5"/>
                <c:pt idx="0">
                  <c:v>1</c:v>
                </c:pt>
                <c:pt idx="1">
                  <c:v>821</c:v>
                </c:pt>
                <c:pt idx="2">
                  <c:v>321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809280"/>
        <c:axId val="73815168"/>
      </c:barChart>
      <c:catAx>
        <c:axId val="738092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3815168"/>
        <c:crosses val="autoZero"/>
        <c:auto val="1"/>
        <c:lblAlgn val="ctr"/>
        <c:lblOffset val="100"/>
        <c:noMultiLvlLbl val="0"/>
      </c:catAx>
      <c:valAx>
        <c:axId val="7381516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7380928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05111861017374"/>
          <c:y val="6.5967041005120255E-2"/>
          <c:w val="0.86986726659167601"/>
          <c:h val="0.50065702852717175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CC9E52"/>
            </a:solidFill>
            <a:ln cmpd="sng">
              <a:solidFill>
                <a:srgbClr val="000000"/>
              </a:solidFill>
            </a:ln>
          </c:spPr>
          <c:invertIfNegative val="1"/>
          <c:dLbls>
            <c:txPr>
              <a:bodyPr/>
              <a:lstStyle/>
              <a:p>
                <a:pPr lvl="0">
                  <a:defRPr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Noviembre24!$C$9:$C$16</c:f>
              <c:strCache>
                <c:ptCount val="8"/>
                <c:pt idx="0">
                  <c:v>Afirmativa</c:v>
                </c:pt>
                <c:pt idx="1">
                  <c:v>Afirmativa parcial</c:v>
                </c:pt>
                <c:pt idx="2">
                  <c:v>Negativa</c:v>
                </c:pt>
                <c:pt idx="3">
                  <c:v>Acuerdos de no competencia</c:v>
                </c:pt>
                <c:pt idx="4">
                  <c:v>Prevenciones</c:v>
                </c:pt>
                <c:pt idx="5">
                  <c:v>Canceladas</c:v>
                </c:pt>
                <c:pt idx="6">
                  <c:v>Derecho ARCO</c:v>
                </c:pt>
                <c:pt idx="7">
                  <c:v>Derecho de petición</c:v>
                </c:pt>
              </c:strCache>
            </c:strRef>
          </c:cat>
          <c:val>
            <c:numRef>
              <c:f>Noviembre24!$D$9:$D$16</c:f>
              <c:numCache>
                <c:formatCode>General</c:formatCode>
                <c:ptCount val="8"/>
                <c:pt idx="0">
                  <c:v>291</c:v>
                </c:pt>
                <c:pt idx="1">
                  <c:v>368</c:v>
                </c:pt>
                <c:pt idx="2">
                  <c:v>156</c:v>
                </c:pt>
                <c:pt idx="3">
                  <c:v>29</c:v>
                </c:pt>
                <c:pt idx="4">
                  <c:v>12</c:v>
                </c:pt>
                <c:pt idx="5" formatCode="0">
                  <c:v>0</c:v>
                </c:pt>
                <c:pt idx="6">
                  <c:v>11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503872"/>
        <c:axId val="73505792"/>
      </c:barChart>
      <c:catAx>
        <c:axId val="735038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@" sourceLinked="0"/>
        <c:majorTickMark val="none"/>
        <c:minorTickMark val="none"/>
        <c:tickLblPos val="nextTo"/>
        <c:txPr>
          <a:bodyPr/>
          <a:lstStyle/>
          <a:p>
            <a:pPr lvl="0">
              <a:defRPr sz="1100" b="1" i="0">
                <a:solidFill>
                  <a:srgbClr val="000000"/>
                </a:solidFill>
                <a:latin typeface="Times New Roman"/>
              </a:defRPr>
            </a:pPr>
            <a:endParaRPr lang="es-MX"/>
          </a:p>
        </c:txPr>
        <c:crossAx val="73505792"/>
        <c:crosses val="autoZero"/>
        <c:auto val="1"/>
        <c:lblAlgn val="ctr"/>
        <c:lblOffset val="100"/>
        <c:noMultiLvlLbl val="1"/>
      </c:catAx>
      <c:valAx>
        <c:axId val="735057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7350387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CC9E52"/>
            </a:solidFill>
            <a:ln cmpd="sng">
              <a:solidFill>
                <a:srgbClr val="000000"/>
              </a:solidFill>
            </a:ln>
          </c:spPr>
          <c:invertIfNegative val="1"/>
          <c:dLbls>
            <c:txPr>
              <a:bodyPr/>
              <a:lstStyle/>
              <a:p>
                <a:pPr lvl="0">
                  <a:defRPr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Noviembre24!$C$26:$C$29</c:f>
              <c:strCache>
                <c:ptCount val="4"/>
                <c:pt idx="0">
                  <c:v>Fundamental        </c:v>
                </c:pt>
                <c:pt idx="1">
                  <c:v>Ordinaria y de libre acceso</c:v>
                </c:pt>
                <c:pt idx="2">
                  <c:v>Reservada              </c:v>
                </c:pt>
                <c:pt idx="3">
                  <c:v>Confidencial            </c:v>
                </c:pt>
              </c:strCache>
            </c:strRef>
          </c:cat>
          <c:val>
            <c:numRef>
              <c:f>Noviembre24!$D$26:$D$29</c:f>
              <c:numCache>
                <c:formatCode>General</c:formatCode>
                <c:ptCount val="4"/>
                <c:pt idx="0">
                  <c:v>34</c:v>
                </c:pt>
                <c:pt idx="1">
                  <c:v>791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6968320"/>
        <c:axId val="166982784"/>
      </c:barChart>
      <c:catAx>
        <c:axId val="166968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sz="1100" b="1" i="0">
                <a:solidFill>
                  <a:srgbClr val="000000"/>
                </a:solidFill>
                <a:latin typeface="Times New Roman"/>
              </a:defRPr>
            </a:pPr>
            <a:endParaRPr lang="es-MX"/>
          </a:p>
        </c:txPr>
        <c:crossAx val="166982784"/>
        <c:crosses val="autoZero"/>
        <c:auto val="1"/>
        <c:lblAlgn val="ctr"/>
        <c:lblOffset val="100"/>
        <c:noMultiLvlLbl val="1"/>
      </c:catAx>
      <c:valAx>
        <c:axId val="1669827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6696832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CC9E52"/>
            </a:solidFill>
            <a:ln cmpd="sng">
              <a:solidFill>
                <a:srgbClr val="000000"/>
              </a:solidFill>
            </a:ln>
          </c:spPr>
          <c:invertIfNegative val="1"/>
          <c:dLbls>
            <c:txPr>
              <a:bodyPr/>
              <a:lstStyle/>
              <a:p>
                <a:pPr lvl="0">
                  <a:defRPr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Noviembre24!$C$45:$C$49</c:f>
              <c:strCache>
                <c:ptCount val="5"/>
                <c:pt idx="0">
                  <c:v>Personales</c:v>
                </c:pt>
                <c:pt idx="1">
                  <c:v>Electrónicas</c:v>
                </c:pt>
                <c:pt idx="2">
                  <c:v>Telefónica</c:v>
                </c:pt>
                <c:pt idx="3">
                  <c:v>Correo electrónico</c:v>
                </c:pt>
                <c:pt idx="4">
                  <c:v>Estrados</c:v>
                </c:pt>
              </c:strCache>
            </c:strRef>
          </c:cat>
          <c:val>
            <c:numRef>
              <c:f>Noviembre24!$D$45:$D$49</c:f>
              <c:numCache>
                <c:formatCode>General</c:formatCode>
                <c:ptCount val="5"/>
                <c:pt idx="0">
                  <c:v>46</c:v>
                </c:pt>
                <c:pt idx="1">
                  <c:v>752</c:v>
                </c:pt>
                <c:pt idx="2">
                  <c:v>0</c:v>
                </c:pt>
                <c:pt idx="3">
                  <c:v>58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155712"/>
        <c:axId val="73157632"/>
      </c:barChart>
      <c:catAx>
        <c:axId val="73155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73157632"/>
        <c:crosses val="autoZero"/>
        <c:auto val="1"/>
        <c:lblAlgn val="ctr"/>
        <c:lblOffset val="100"/>
        <c:noMultiLvlLbl val="1"/>
      </c:catAx>
      <c:valAx>
        <c:axId val="731576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7315571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05111861017374"/>
          <c:y val="6.5967041005120255E-2"/>
          <c:w val="0.86986726659167601"/>
          <c:h val="0.50431693989071036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CC9E52"/>
            </a:solidFill>
            <a:ln cmpd="sng">
              <a:solidFill>
                <a:srgbClr val="000000"/>
              </a:solidFill>
            </a:ln>
          </c:spPr>
          <c:invertIfNegative val="1"/>
          <c:dLbls>
            <c:txPr>
              <a:bodyPr/>
              <a:lstStyle/>
              <a:p>
                <a:pPr lvl="0">
                  <a:defRPr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Diciembre24!$C$9:$C$16</c:f>
              <c:strCache>
                <c:ptCount val="8"/>
                <c:pt idx="0">
                  <c:v>Afirmativa</c:v>
                </c:pt>
                <c:pt idx="1">
                  <c:v>Afirmativa parcial</c:v>
                </c:pt>
                <c:pt idx="2">
                  <c:v>Negativa</c:v>
                </c:pt>
                <c:pt idx="3">
                  <c:v>Acuerdos de no competencia</c:v>
                </c:pt>
                <c:pt idx="4">
                  <c:v>Prevenciones</c:v>
                </c:pt>
                <c:pt idx="5">
                  <c:v>Canceladas</c:v>
                </c:pt>
                <c:pt idx="6">
                  <c:v>Derecho ARCO</c:v>
                </c:pt>
                <c:pt idx="7">
                  <c:v>Derecho de petición</c:v>
                </c:pt>
              </c:strCache>
            </c:strRef>
          </c:cat>
          <c:val>
            <c:numRef>
              <c:f>Diciembre24!$D$9:$D$16</c:f>
              <c:numCache>
                <c:formatCode>General</c:formatCode>
                <c:ptCount val="8"/>
                <c:pt idx="0">
                  <c:v>169</c:v>
                </c:pt>
                <c:pt idx="1">
                  <c:v>198</c:v>
                </c:pt>
                <c:pt idx="2">
                  <c:v>61</c:v>
                </c:pt>
                <c:pt idx="3">
                  <c:v>18</c:v>
                </c:pt>
                <c:pt idx="4">
                  <c:v>5</c:v>
                </c:pt>
                <c:pt idx="5" formatCode="0">
                  <c:v>0</c:v>
                </c:pt>
                <c:pt idx="6">
                  <c:v>4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015872"/>
        <c:axId val="72017792"/>
      </c:barChart>
      <c:catAx>
        <c:axId val="720158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@" sourceLinked="0"/>
        <c:majorTickMark val="none"/>
        <c:minorTickMark val="none"/>
        <c:tickLblPos val="nextTo"/>
        <c:txPr>
          <a:bodyPr/>
          <a:lstStyle/>
          <a:p>
            <a:pPr lvl="0">
              <a:defRPr sz="1100" b="1" i="0">
                <a:solidFill>
                  <a:srgbClr val="000000"/>
                </a:solidFill>
                <a:latin typeface="Times New Roman"/>
              </a:defRPr>
            </a:pPr>
            <a:endParaRPr lang="es-MX"/>
          </a:p>
        </c:txPr>
        <c:crossAx val="72017792"/>
        <c:crosses val="autoZero"/>
        <c:auto val="1"/>
        <c:lblAlgn val="ctr"/>
        <c:lblOffset val="100"/>
        <c:noMultiLvlLbl val="1"/>
      </c:catAx>
      <c:valAx>
        <c:axId val="720177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7201587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CC9E52"/>
            </a:solidFill>
            <a:ln cmpd="sng">
              <a:solidFill>
                <a:srgbClr val="000000"/>
              </a:solidFill>
            </a:ln>
          </c:spPr>
          <c:invertIfNegative val="1"/>
          <c:dLbls>
            <c:txPr>
              <a:bodyPr/>
              <a:lstStyle/>
              <a:p>
                <a:pPr lvl="0">
                  <a:defRPr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Diciembre24!$C$26:$C$29</c:f>
              <c:strCache>
                <c:ptCount val="4"/>
                <c:pt idx="0">
                  <c:v>Fundamental        </c:v>
                </c:pt>
                <c:pt idx="1">
                  <c:v>Ordinaria y de libre acceso</c:v>
                </c:pt>
                <c:pt idx="2">
                  <c:v>Reservada              </c:v>
                </c:pt>
                <c:pt idx="3">
                  <c:v>Confidencial            </c:v>
                </c:pt>
              </c:strCache>
            </c:strRef>
          </c:cat>
          <c:val>
            <c:numRef>
              <c:f>Diciembre24!$D$26:$D$29</c:f>
              <c:numCache>
                <c:formatCode>General</c:formatCode>
                <c:ptCount val="4"/>
                <c:pt idx="0">
                  <c:v>11</c:v>
                </c:pt>
                <c:pt idx="1">
                  <c:v>420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855872"/>
        <c:axId val="89882624"/>
      </c:barChart>
      <c:catAx>
        <c:axId val="898558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sz="1100" b="1" i="0">
                <a:solidFill>
                  <a:srgbClr val="000000"/>
                </a:solidFill>
                <a:latin typeface="Times New Roman"/>
              </a:defRPr>
            </a:pPr>
            <a:endParaRPr lang="es-MX"/>
          </a:p>
        </c:txPr>
        <c:crossAx val="89882624"/>
        <c:crosses val="autoZero"/>
        <c:auto val="1"/>
        <c:lblAlgn val="ctr"/>
        <c:lblOffset val="100"/>
        <c:noMultiLvlLbl val="1"/>
      </c:catAx>
      <c:valAx>
        <c:axId val="898826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8985587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CC9E52"/>
            </a:solidFill>
            <a:ln cmpd="sng">
              <a:solidFill>
                <a:srgbClr val="000000"/>
              </a:solidFill>
            </a:ln>
          </c:spPr>
          <c:invertIfNegative val="1"/>
          <c:dLbls>
            <c:txPr>
              <a:bodyPr/>
              <a:lstStyle/>
              <a:p>
                <a:pPr lvl="0">
                  <a:defRPr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Diciembre24!$C$45:$C$49</c:f>
              <c:strCache>
                <c:ptCount val="5"/>
                <c:pt idx="0">
                  <c:v>Personales</c:v>
                </c:pt>
                <c:pt idx="1">
                  <c:v>Electrónicas</c:v>
                </c:pt>
                <c:pt idx="2">
                  <c:v>Telefónica</c:v>
                </c:pt>
                <c:pt idx="3">
                  <c:v>Correo electrónico</c:v>
                </c:pt>
                <c:pt idx="4">
                  <c:v>Estrados</c:v>
                </c:pt>
              </c:strCache>
            </c:strRef>
          </c:cat>
          <c:val>
            <c:numRef>
              <c:f>Diciembre24!$D$45:$D$49</c:f>
              <c:numCache>
                <c:formatCode>General</c:formatCode>
                <c:ptCount val="5"/>
                <c:pt idx="0">
                  <c:v>13</c:v>
                </c:pt>
                <c:pt idx="1">
                  <c:v>427</c:v>
                </c:pt>
                <c:pt idx="2">
                  <c:v>0</c:v>
                </c:pt>
                <c:pt idx="3">
                  <c:v>15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890176"/>
        <c:axId val="89864064"/>
      </c:barChart>
      <c:catAx>
        <c:axId val="89890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89864064"/>
        <c:crosses val="autoZero"/>
        <c:auto val="1"/>
        <c:lblAlgn val="ctr"/>
        <c:lblOffset val="100"/>
        <c:noMultiLvlLbl val="1"/>
      </c:catAx>
      <c:valAx>
        <c:axId val="89864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8989017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jpeg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image" Target="../media/image2.jpeg"/><Relationship Id="rId5" Type="http://schemas.openxmlformats.org/officeDocument/2006/relationships/image" Target="../media/image1.png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image" Target="../media/image2.jpeg"/><Relationship Id="rId5" Type="http://schemas.openxmlformats.org/officeDocument/2006/relationships/image" Target="../media/image1.png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image" Target="../media/image2.jpeg"/><Relationship Id="rId5" Type="http://schemas.openxmlformats.org/officeDocument/2006/relationships/image" Target="../media/image1.png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image" Target="../media/image2.jpeg"/><Relationship Id="rId5" Type="http://schemas.openxmlformats.org/officeDocument/2006/relationships/image" Target="../media/image1.png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6" Type="http://schemas.openxmlformats.org/officeDocument/2006/relationships/image" Target="../media/image2.jpeg"/><Relationship Id="rId5" Type="http://schemas.openxmlformats.org/officeDocument/2006/relationships/image" Target="../media/image1.png"/><Relationship Id="rId4" Type="http://schemas.openxmlformats.org/officeDocument/2006/relationships/chart" Target="../charts/chart2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6" Type="http://schemas.openxmlformats.org/officeDocument/2006/relationships/image" Target="../media/image2.jpeg"/><Relationship Id="rId5" Type="http://schemas.openxmlformats.org/officeDocument/2006/relationships/image" Target="../media/image1.png"/><Relationship Id="rId4" Type="http://schemas.openxmlformats.org/officeDocument/2006/relationships/chart" Target="../charts/chart2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6" Type="http://schemas.openxmlformats.org/officeDocument/2006/relationships/image" Target="../media/image2.jpeg"/><Relationship Id="rId5" Type="http://schemas.openxmlformats.org/officeDocument/2006/relationships/image" Target="../media/image1.png"/><Relationship Id="rId4" Type="http://schemas.openxmlformats.org/officeDocument/2006/relationships/chart" Target="../charts/chart3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6" Type="http://schemas.openxmlformats.org/officeDocument/2006/relationships/image" Target="../media/image2.jpeg"/><Relationship Id="rId5" Type="http://schemas.openxmlformats.org/officeDocument/2006/relationships/image" Target="../media/image1.png"/><Relationship Id="rId4" Type="http://schemas.openxmlformats.org/officeDocument/2006/relationships/chart" Target="../charts/chart3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chart" Target="../charts/chart40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6.xml"/><Relationship Id="rId2" Type="http://schemas.openxmlformats.org/officeDocument/2006/relationships/chart" Target="../charts/chart45.xml"/><Relationship Id="rId1" Type="http://schemas.openxmlformats.org/officeDocument/2006/relationships/chart" Target="../charts/chart44.xml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9524</xdr:colOff>
      <xdr:row>5</xdr:row>
      <xdr:rowOff>19051</xdr:rowOff>
    </xdr:from>
    <xdr:to>
      <xdr:col>13</xdr:col>
      <xdr:colOff>0</xdr:colOff>
      <xdr:row>15</xdr:row>
      <xdr:rowOff>142876</xdr:rowOff>
    </xdr:to>
    <xdr:graphicFrame macro="">
      <xdr:nvGraphicFramePr>
        <xdr:cNvPr id="4" name="3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21</xdr:row>
      <xdr:rowOff>19050</xdr:rowOff>
    </xdr:from>
    <xdr:to>
      <xdr:col>12</xdr:col>
      <xdr:colOff>752475</xdr:colOff>
      <xdr:row>33</xdr:row>
      <xdr:rowOff>176212</xdr:rowOff>
    </xdr:to>
    <xdr:graphicFrame macro="">
      <xdr:nvGraphicFramePr>
        <xdr:cNvPr id="5" name="4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9524</xdr:colOff>
      <xdr:row>40</xdr:row>
      <xdr:rowOff>14287</xdr:rowOff>
    </xdr:from>
    <xdr:to>
      <xdr:col>12</xdr:col>
      <xdr:colOff>752475</xdr:colOff>
      <xdr:row>54</xdr:row>
      <xdr:rowOff>0</xdr:rowOff>
    </xdr:to>
    <xdr:graphicFrame macro="">
      <xdr:nvGraphicFramePr>
        <xdr:cNvPr id="6" name="5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19050</xdr:colOff>
      <xdr:row>58</xdr:row>
      <xdr:rowOff>190500</xdr:rowOff>
    </xdr:from>
    <xdr:to>
      <xdr:col>13</xdr:col>
      <xdr:colOff>19050</xdr:colOff>
      <xdr:row>66</xdr:row>
      <xdr:rowOff>195262</xdr:rowOff>
    </xdr:to>
    <xdr:graphicFrame macro="">
      <xdr:nvGraphicFramePr>
        <xdr:cNvPr id="7" name="6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152400</xdr:colOff>
      <xdr:row>0</xdr:row>
      <xdr:rowOff>800100</xdr:rowOff>
    </xdr:from>
    <xdr:to>
      <xdr:col>2</xdr:col>
      <xdr:colOff>933450</xdr:colOff>
      <xdr:row>0</xdr:row>
      <xdr:rowOff>933450</xdr:rowOff>
    </xdr:to>
    <xdr:sp macro="" textlink="">
      <xdr:nvSpPr>
        <xdr:cNvPr id="10" name="Rectángulo 9"/>
        <xdr:cNvSpPr/>
      </xdr:nvSpPr>
      <xdr:spPr>
        <a:xfrm>
          <a:off x="1676400" y="800100"/>
          <a:ext cx="781050" cy="1333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1</xdr:col>
      <xdr:colOff>85725</xdr:colOff>
      <xdr:row>0</xdr:row>
      <xdr:rowOff>352425</xdr:rowOff>
    </xdr:from>
    <xdr:to>
      <xdr:col>3</xdr:col>
      <xdr:colOff>771525</xdr:colOff>
      <xdr:row>0</xdr:row>
      <xdr:rowOff>1285875</xdr:rowOff>
    </xdr:to>
    <xdr:pic>
      <xdr:nvPicPr>
        <xdr:cNvPr id="11" name="10 Imagen" descr="https://lh5.googleusercontent.com/gaSB--MdN5sJI7BqtOY878zdbwS7Xa6pzRO4xyWodJAR4LzruK-kbTGI4M0VtROCFqBVrOtMSl31_Z9UxyhtY87SM2OHBwJ_ETa_39evBwzXrxsfVpt-3SPWUGn5yqcTad8WAmbsVFDBnflq0v5eLK8"/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228" t="26667" r="14815" b="26667"/>
        <a:stretch/>
      </xdr:blipFill>
      <xdr:spPr bwMode="auto">
        <a:xfrm>
          <a:off x="847725" y="352425"/>
          <a:ext cx="2590800" cy="9334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11</xdr:col>
      <xdr:colOff>676275</xdr:colOff>
      <xdr:row>0</xdr:row>
      <xdr:rowOff>123825</xdr:rowOff>
    </xdr:from>
    <xdr:to>
      <xdr:col>13</xdr:col>
      <xdr:colOff>323850</xdr:colOff>
      <xdr:row>0</xdr:row>
      <xdr:rowOff>1600200</xdr:rowOff>
    </xdr:to>
    <xdr:pic>
      <xdr:nvPicPr>
        <xdr:cNvPr id="12" name="11 Imagen" descr="https://lh4.googleusercontent.com/nddzJEq5X-YYRekbAiR1GfuJP3oM9b1RGw7wFXDf7GrxcsyNDRhiQEvo8udAnEzfiPmQZLJup3XKxLmpNJL2Ea0VwCZGfCwvY-Kp26kxC-73off2NrDN25cc30ndqvg9ilEmrVxCtG9_IN_4B3IDNiQ"/>
        <xdr:cNvPicPr/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67" t="18566" r="19271" b="16033"/>
        <a:stretch/>
      </xdr:blipFill>
      <xdr:spPr bwMode="auto">
        <a:xfrm>
          <a:off x="9667875" y="123825"/>
          <a:ext cx="1171575" cy="147637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9524</xdr:colOff>
      <xdr:row>5</xdr:row>
      <xdr:rowOff>19051</xdr:rowOff>
    </xdr:from>
    <xdr:to>
      <xdr:col>13</xdr:col>
      <xdr:colOff>0</xdr:colOff>
      <xdr:row>15</xdr:row>
      <xdr:rowOff>142876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21</xdr:row>
      <xdr:rowOff>19050</xdr:rowOff>
    </xdr:from>
    <xdr:to>
      <xdr:col>12</xdr:col>
      <xdr:colOff>752475</xdr:colOff>
      <xdr:row>33</xdr:row>
      <xdr:rowOff>176212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9524</xdr:colOff>
      <xdr:row>40</xdr:row>
      <xdr:rowOff>14287</xdr:rowOff>
    </xdr:from>
    <xdr:to>
      <xdr:col>12</xdr:col>
      <xdr:colOff>752475</xdr:colOff>
      <xdr:row>54</xdr:row>
      <xdr:rowOff>0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19050</xdr:colOff>
      <xdr:row>58</xdr:row>
      <xdr:rowOff>190500</xdr:rowOff>
    </xdr:from>
    <xdr:to>
      <xdr:col>13</xdr:col>
      <xdr:colOff>19050</xdr:colOff>
      <xdr:row>66</xdr:row>
      <xdr:rowOff>195262</xdr:rowOff>
    </xdr:to>
    <xdr:graphicFrame macro="">
      <xdr:nvGraphicFramePr>
        <xdr:cNvPr id="5" name="4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152400</xdr:colOff>
      <xdr:row>0</xdr:row>
      <xdr:rowOff>800100</xdr:rowOff>
    </xdr:from>
    <xdr:to>
      <xdr:col>2</xdr:col>
      <xdr:colOff>933450</xdr:colOff>
      <xdr:row>0</xdr:row>
      <xdr:rowOff>933450</xdr:rowOff>
    </xdr:to>
    <xdr:sp macro="" textlink="">
      <xdr:nvSpPr>
        <xdr:cNvPr id="6" name="Rectángulo 9"/>
        <xdr:cNvSpPr/>
      </xdr:nvSpPr>
      <xdr:spPr>
        <a:xfrm>
          <a:off x="1676400" y="190500"/>
          <a:ext cx="609600" cy="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oneCellAnchor>
    <xdr:from>
      <xdr:col>1</xdr:col>
      <xdr:colOff>85725</xdr:colOff>
      <xdr:row>0</xdr:row>
      <xdr:rowOff>352425</xdr:rowOff>
    </xdr:from>
    <xdr:ext cx="2590800" cy="933450"/>
    <xdr:pic>
      <xdr:nvPicPr>
        <xdr:cNvPr id="7" name="6 Imagen" descr="https://lh5.googleusercontent.com/gaSB--MdN5sJI7BqtOY878zdbwS7Xa6pzRO4xyWodJAR4LzruK-kbTGI4M0VtROCFqBVrOtMSl31_Z9UxyhtY87SM2OHBwJ_ETa_39evBwzXrxsfVpt-3SPWUGn5yqcTad8WAmbsVFDBnflq0v5eLK8"/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228" t="26667" r="14815" b="26667"/>
        <a:stretch/>
      </xdr:blipFill>
      <xdr:spPr bwMode="auto">
        <a:xfrm>
          <a:off x="847725" y="190500"/>
          <a:ext cx="2590800" cy="9334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11</xdr:col>
      <xdr:colOff>676275</xdr:colOff>
      <xdr:row>0</xdr:row>
      <xdr:rowOff>123825</xdr:rowOff>
    </xdr:from>
    <xdr:ext cx="1171575" cy="1476375"/>
    <xdr:pic>
      <xdr:nvPicPr>
        <xdr:cNvPr id="8" name="7 Imagen" descr="https://lh4.googleusercontent.com/nddzJEq5X-YYRekbAiR1GfuJP3oM9b1RGw7wFXDf7GrxcsyNDRhiQEvo8udAnEzfiPmQZLJup3XKxLmpNJL2Ea0VwCZGfCwvY-Kp26kxC-73off2NrDN25cc30ndqvg9ilEmrVxCtG9_IN_4B3IDNiQ"/>
        <xdr:cNvPicPr/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67" t="18566" r="19271" b="16033"/>
        <a:stretch/>
      </xdr:blipFill>
      <xdr:spPr bwMode="auto">
        <a:xfrm>
          <a:off x="9058275" y="123825"/>
          <a:ext cx="1171575" cy="147637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9524</xdr:colOff>
      <xdr:row>5</xdr:row>
      <xdr:rowOff>19051</xdr:rowOff>
    </xdr:from>
    <xdr:to>
      <xdr:col>13</xdr:col>
      <xdr:colOff>0</xdr:colOff>
      <xdr:row>15</xdr:row>
      <xdr:rowOff>142876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21</xdr:row>
      <xdr:rowOff>19050</xdr:rowOff>
    </xdr:from>
    <xdr:to>
      <xdr:col>12</xdr:col>
      <xdr:colOff>752475</xdr:colOff>
      <xdr:row>33</xdr:row>
      <xdr:rowOff>176212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9524</xdr:colOff>
      <xdr:row>40</xdr:row>
      <xdr:rowOff>14287</xdr:rowOff>
    </xdr:from>
    <xdr:to>
      <xdr:col>12</xdr:col>
      <xdr:colOff>752475</xdr:colOff>
      <xdr:row>54</xdr:row>
      <xdr:rowOff>0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19050</xdr:colOff>
      <xdr:row>58</xdr:row>
      <xdr:rowOff>190500</xdr:rowOff>
    </xdr:from>
    <xdr:to>
      <xdr:col>13</xdr:col>
      <xdr:colOff>19050</xdr:colOff>
      <xdr:row>66</xdr:row>
      <xdr:rowOff>195262</xdr:rowOff>
    </xdr:to>
    <xdr:graphicFrame macro="">
      <xdr:nvGraphicFramePr>
        <xdr:cNvPr id="5" name="4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152400</xdr:colOff>
      <xdr:row>0</xdr:row>
      <xdr:rowOff>800100</xdr:rowOff>
    </xdr:from>
    <xdr:to>
      <xdr:col>2</xdr:col>
      <xdr:colOff>933450</xdr:colOff>
      <xdr:row>0</xdr:row>
      <xdr:rowOff>933450</xdr:rowOff>
    </xdr:to>
    <xdr:sp macro="" textlink="">
      <xdr:nvSpPr>
        <xdr:cNvPr id="6" name="Rectángulo 9"/>
        <xdr:cNvSpPr/>
      </xdr:nvSpPr>
      <xdr:spPr>
        <a:xfrm>
          <a:off x="1676400" y="190500"/>
          <a:ext cx="609600" cy="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oneCellAnchor>
    <xdr:from>
      <xdr:col>1</xdr:col>
      <xdr:colOff>85725</xdr:colOff>
      <xdr:row>0</xdr:row>
      <xdr:rowOff>352425</xdr:rowOff>
    </xdr:from>
    <xdr:ext cx="2590800" cy="933450"/>
    <xdr:pic>
      <xdr:nvPicPr>
        <xdr:cNvPr id="7" name="6 Imagen" descr="https://lh5.googleusercontent.com/gaSB--MdN5sJI7BqtOY878zdbwS7Xa6pzRO4xyWodJAR4LzruK-kbTGI4M0VtROCFqBVrOtMSl31_Z9UxyhtY87SM2OHBwJ_ETa_39evBwzXrxsfVpt-3SPWUGn5yqcTad8WAmbsVFDBnflq0v5eLK8"/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228" t="26667" r="14815" b="26667"/>
        <a:stretch/>
      </xdr:blipFill>
      <xdr:spPr bwMode="auto">
        <a:xfrm>
          <a:off x="847725" y="190500"/>
          <a:ext cx="2590800" cy="9334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11</xdr:col>
      <xdr:colOff>676275</xdr:colOff>
      <xdr:row>0</xdr:row>
      <xdr:rowOff>123825</xdr:rowOff>
    </xdr:from>
    <xdr:ext cx="1171575" cy="1476375"/>
    <xdr:pic>
      <xdr:nvPicPr>
        <xdr:cNvPr id="8" name="7 Imagen" descr="https://lh4.googleusercontent.com/nddzJEq5X-YYRekbAiR1GfuJP3oM9b1RGw7wFXDf7GrxcsyNDRhiQEvo8udAnEzfiPmQZLJup3XKxLmpNJL2Ea0VwCZGfCwvY-Kp26kxC-73off2NrDN25cc30ndqvg9ilEmrVxCtG9_IN_4B3IDNiQ"/>
        <xdr:cNvPicPr/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67" t="18566" r="19271" b="16033"/>
        <a:stretch/>
      </xdr:blipFill>
      <xdr:spPr bwMode="auto">
        <a:xfrm>
          <a:off x="9058275" y="123825"/>
          <a:ext cx="1171575" cy="147637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9524</xdr:colOff>
      <xdr:row>5</xdr:row>
      <xdr:rowOff>19051</xdr:rowOff>
    </xdr:from>
    <xdr:to>
      <xdr:col>13</xdr:col>
      <xdr:colOff>0</xdr:colOff>
      <xdr:row>15</xdr:row>
      <xdr:rowOff>142876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21</xdr:row>
      <xdr:rowOff>19050</xdr:rowOff>
    </xdr:from>
    <xdr:to>
      <xdr:col>12</xdr:col>
      <xdr:colOff>752475</xdr:colOff>
      <xdr:row>33</xdr:row>
      <xdr:rowOff>176212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9524</xdr:colOff>
      <xdr:row>40</xdr:row>
      <xdr:rowOff>14287</xdr:rowOff>
    </xdr:from>
    <xdr:to>
      <xdr:col>12</xdr:col>
      <xdr:colOff>752475</xdr:colOff>
      <xdr:row>54</xdr:row>
      <xdr:rowOff>0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19050</xdr:colOff>
      <xdr:row>58</xdr:row>
      <xdr:rowOff>190500</xdr:rowOff>
    </xdr:from>
    <xdr:to>
      <xdr:col>13</xdr:col>
      <xdr:colOff>19050</xdr:colOff>
      <xdr:row>66</xdr:row>
      <xdr:rowOff>195262</xdr:rowOff>
    </xdr:to>
    <xdr:graphicFrame macro="">
      <xdr:nvGraphicFramePr>
        <xdr:cNvPr id="5" name="4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152400</xdr:colOff>
      <xdr:row>0</xdr:row>
      <xdr:rowOff>800100</xdr:rowOff>
    </xdr:from>
    <xdr:to>
      <xdr:col>2</xdr:col>
      <xdr:colOff>933450</xdr:colOff>
      <xdr:row>0</xdr:row>
      <xdr:rowOff>933450</xdr:rowOff>
    </xdr:to>
    <xdr:sp macro="" textlink="">
      <xdr:nvSpPr>
        <xdr:cNvPr id="6" name="Rectángulo 9"/>
        <xdr:cNvSpPr/>
      </xdr:nvSpPr>
      <xdr:spPr>
        <a:xfrm>
          <a:off x="1676400" y="190500"/>
          <a:ext cx="609600" cy="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oneCellAnchor>
    <xdr:from>
      <xdr:col>1</xdr:col>
      <xdr:colOff>85725</xdr:colOff>
      <xdr:row>0</xdr:row>
      <xdr:rowOff>352425</xdr:rowOff>
    </xdr:from>
    <xdr:ext cx="2590800" cy="933450"/>
    <xdr:pic>
      <xdr:nvPicPr>
        <xdr:cNvPr id="7" name="6 Imagen" descr="https://lh5.googleusercontent.com/gaSB--MdN5sJI7BqtOY878zdbwS7Xa6pzRO4xyWodJAR4LzruK-kbTGI4M0VtROCFqBVrOtMSl31_Z9UxyhtY87SM2OHBwJ_ETa_39evBwzXrxsfVpt-3SPWUGn5yqcTad8WAmbsVFDBnflq0v5eLK8"/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228" t="26667" r="14815" b="26667"/>
        <a:stretch/>
      </xdr:blipFill>
      <xdr:spPr bwMode="auto">
        <a:xfrm>
          <a:off x="847725" y="190500"/>
          <a:ext cx="2590800" cy="9334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11</xdr:col>
      <xdr:colOff>676275</xdr:colOff>
      <xdr:row>0</xdr:row>
      <xdr:rowOff>123825</xdr:rowOff>
    </xdr:from>
    <xdr:ext cx="1171575" cy="1476375"/>
    <xdr:pic>
      <xdr:nvPicPr>
        <xdr:cNvPr id="8" name="7 Imagen" descr="https://lh4.googleusercontent.com/nddzJEq5X-YYRekbAiR1GfuJP3oM9b1RGw7wFXDf7GrxcsyNDRhiQEvo8udAnEzfiPmQZLJup3XKxLmpNJL2Ea0VwCZGfCwvY-Kp26kxC-73off2NrDN25cc30ndqvg9ilEmrVxCtG9_IN_4B3IDNiQ"/>
        <xdr:cNvPicPr/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67" t="18566" r="19271" b="16033"/>
        <a:stretch/>
      </xdr:blipFill>
      <xdr:spPr bwMode="auto">
        <a:xfrm>
          <a:off x="9058275" y="123825"/>
          <a:ext cx="1171575" cy="147637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9524</xdr:colOff>
      <xdr:row>5</xdr:row>
      <xdr:rowOff>19051</xdr:rowOff>
    </xdr:from>
    <xdr:to>
      <xdr:col>13</xdr:col>
      <xdr:colOff>0</xdr:colOff>
      <xdr:row>15</xdr:row>
      <xdr:rowOff>142876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21</xdr:row>
      <xdr:rowOff>19050</xdr:rowOff>
    </xdr:from>
    <xdr:to>
      <xdr:col>12</xdr:col>
      <xdr:colOff>752475</xdr:colOff>
      <xdr:row>33</xdr:row>
      <xdr:rowOff>176212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9524</xdr:colOff>
      <xdr:row>40</xdr:row>
      <xdr:rowOff>14287</xdr:rowOff>
    </xdr:from>
    <xdr:to>
      <xdr:col>12</xdr:col>
      <xdr:colOff>752475</xdr:colOff>
      <xdr:row>54</xdr:row>
      <xdr:rowOff>0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19050</xdr:colOff>
      <xdr:row>58</xdr:row>
      <xdr:rowOff>190500</xdr:rowOff>
    </xdr:from>
    <xdr:to>
      <xdr:col>13</xdr:col>
      <xdr:colOff>19050</xdr:colOff>
      <xdr:row>66</xdr:row>
      <xdr:rowOff>195262</xdr:rowOff>
    </xdr:to>
    <xdr:graphicFrame macro="">
      <xdr:nvGraphicFramePr>
        <xdr:cNvPr id="5" name="4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152400</xdr:colOff>
      <xdr:row>0</xdr:row>
      <xdr:rowOff>800100</xdr:rowOff>
    </xdr:from>
    <xdr:to>
      <xdr:col>2</xdr:col>
      <xdr:colOff>933450</xdr:colOff>
      <xdr:row>0</xdr:row>
      <xdr:rowOff>933450</xdr:rowOff>
    </xdr:to>
    <xdr:sp macro="" textlink="">
      <xdr:nvSpPr>
        <xdr:cNvPr id="6" name="Rectángulo 9"/>
        <xdr:cNvSpPr/>
      </xdr:nvSpPr>
      <xdr:spPr>
        <a:xfrm>
          <a:off x="1676400" y="190500"/>
          <a:ext cx="609600" cy="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oneCellAnchor>
    <xdr:from>
      <xdr:col>1</xdr:col>
      <xdr:colOff>85725</xdr:colOff>
      <xdr:row>0</xdr:row>
      <xdr:rowOff>352425</xdr:rowOff>
    </xdr:from>
    <xdr:ext cx="2590800" cy="933450"/>
    <xdr:pic>
      <xdr:nvPicPr>
        <xdr:cNvPr id="7" name="6 Imagen" descr="https://lh5.googleusercontent.com/gaSB--MdN5sJI7BqtOY878zdbwS7Xa6pzRO4xyWodJAR4LzruK-kbTGI4M0VtROCFqBVrOtMSl31_Z9UxyhtY87SM2OHBwJ_ETa_39evBwzXrxsfVpt-3SPWUGn5yqcTad8WAmbsVFDBnflq0v5eLK8"/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228" t="26667" r="14815" b="26667"/>
        <a:stretch/>
      </xdr:blipFill>
      <xdr:spPr bwMode="auto">
        <a:xfrm>
          <a:off x="847725" y="190500"/>
          <a:ext cx="2590800" cy="9334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11</xdr:col>
      <xdr:colOff>676275</xdr:colOff>
      <xdr:row>0</xdr:row>
      <xdr:rowOff>123825</xdr:rowOff>
    </xdr:from>
    <xdr:ext cx="1171575" cy="1476375"/>
    <xdr:pic>
      <xdr:nvPicPr>
        <xdr:cNvPr id="8" name="7 Imagen" descr="https://lh4.googleusercontent.com/nddzJEq5X-YYRekbAiR1GfuJP3oM9b1RGw7wFXDf7GrxcsyNDRhiQEvo8udAnEzfiPmQZLJup3XKxLmpNJL2Ea0VwCZGfCwvY-Kp26kxC-73off2NrDN25cc30ndqvg9ilEmrVxCtG9_IN_4B3IDNiQ"/>
        <xdr:cNvPicPr/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67" t="18566" r="19271" b="16033"/>
        <a:stretch/>
      </xdr:blipFill>
      <xdr:spPr bwMode="auto">
        <a:xfrm>
          <a:off x="9058275" y="123825"/>
          <a:ext cx="1171575" cy="147637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9524</xdr:colOff>
      <xdr:row>5</xdr:row>
      <xdr:rowOff>19051</xdr:rowOff>
    </xdr:from>
    <xdr:to>
      <xdr:col>13</xdr:col>
      <xdr:colOff>0</xdr:colOff>
      <xdr:row>15</xdr:row>
      <xdr:rowOff>142876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21</xdr:row>
      <xdr:rowOff>19050</xdr:rowOff>
    </xdr:from>
    <xdr:to>
      <xdr:col>12</xdr:col>
      <xdr:colOff>752475</xdr:colOff>
      <xdr:row>33</xdr:row>
      <xdr:rowOff>176212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9524</xdr:colOff>
      <xdr:row>40</xdr:row>
      <xdr:rowOff>14287</xdr:rowOff>
    </xdr:from>
    <xdr:to>
      <xdr:col>12</xdr:col>
      <xdr:colOff>752475</xdr:colOff>
      <xdr:row>54</xdr:row>
      <xdr:rowOff>0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19050</xdr:colOff>
      <xdr:row>58</xdr:row>
      <xdr:rowOff>190500</xdr:rowOff>
    </xdr:from>
    <xdr:to>
      <xdr:col>13</xdr:col>
      <xdr:colOff>19050</xdr:colOff>
      <xdr:row>66</xdr:row>
      <xdr:rowOff>195262</xdr:rowOff>
    </xdr:to>
    <xdr:graphicFrame macro="">
      <xdr:nvGraphicFramePr>
        <xdr:cNvPr id="5" name="4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152400</xdr:colOff>
      <xdr:row>0</xdr:row>
      <xdr:rowOff>800100</xdr:rowOff>
    </xdr:from>
    <xdr:to>
      <xdr:col>2</xdr:col>
      <xdr:colOff>933450</xdr:colOff>
      <xdr:row>0</xdr:row>
      <xdr:rowOff>933450</xdr:rowOff>
    </xdr:to>
    <xdr:sp macro="" textlink="">
      <xdr:nvSpPr>
        <xdr:cNvPr id="6" name="Rectángulo 9"/>
        <xdr:cNvSpPr/>
      </xdr:nvSpPr>
      <xdr:spPr>
        <a:xfrm>
          <a:off x="1676400" y="190500"/>
          <a:ext cx="609600" cy="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oneCellAnchor>
    <xdr:from>
      <xdr:col>1</xdr:col>
      <xdr:colOff>85725</xdr:colOff>
      <xdr:row>0</xdr:row>
      <xdr:rowOff>352425</xdr:rowOff>
    </xdr:from>
    <xdr:ext cx="2590800" cy="933450"/>
    <xdr:pic>
      <xdr:nvPicPr>
        <xdr:cNvPr id="7" name="6 Imagen" descr="https://lh5.googleusercontent.com/gaSB--MdN5sJI7BqtOY878zdbwS7Xa6pzRO4xyWodJAR4LzruK-kbTGI4M0VtROCFqBVrOtMSl31_Z9UxyhtY87SM2OHBwJ_ETa_39evBwzXrxsfVpt-3SPWUGn5yqcTad8WAmbsVFDBnflq0v5eLK8"/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228" t="26667" r="14815" b="26667"/>
        <a:stretch/>
      </xdr:blipFill>
      <xdr:spPr bwMode="auto">
        <a:xfrm>
          <a:off x="847725" y="190500"/>
          <a:ext cx="2590800" cy="9334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11</xdr:col>
      <xdr:colOff>676275</xdr:colOff>
      <xdr:row>0</xdr:row>
      <xdr:rowOff>123825</xdr:rowOff>
    </xdr:from>
    <xdr:ext cx="1171575" cy="1476375"/>
    <xdr:pic>
      <xdr:nvPicPr>
        <xdr:cNvPr id="8" name="7 Imagen" descr="https://lh4.googleusercontent.com/nddzJEq5X-YYRekbAiR1GfuJP3oM9b1RGw7wFXDf7GrxcsyNDRhiQEvo8udAnEzfiPmQZLJup3XKxLmpNJL2Ea0VwCZGfCwvY-Kp26kxC-73off2NrDN25cc30ndqvg9ilEmrVxCtG9_IN_4B3IDNiQ"/>
        <xdr:cNvPicPr/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67" t="18566" r="19271" b="16033"/>
        <a:stretch/>
      </xdr:blipFill>
      <xdr:spPr bwMode="auto">
        <a:xfrm>
          <a:off x="9058275" y="123825"/>
          <a:ext cx="1171575" cy="147637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9524</xdr:colOff>
      <xdr:row>5</xdr:row>
      <xdr:rowOff>19051</xdr:rowOff>
    </xdr:from>
    <xdr:to>
      <xdr:col>13</xdr:col>
      <xdr:colOff>0</xdr:colOff>
      <xdr:row>15</xdr:row>
      <xdr:rowOff>142876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21</xdr:row>
      <xdr:rowOff>19050</xdr:rowOff>
    </xdr:from>
    <xdr:to>
      <xdr:col>12</xdr:col>
      <xdr:colOff>752475</xdr:colOff>
      <xdr:row>33</xdr:row>
      <xdr:rowOff>176212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9524</xdr:colOff>
      <xdr:row>40</xdr:row>
      <xdr:rowOff>14287</xdr:rowOff>
    </xdr:from>
    <xdr:to>
      <xdr:col>12</xdr:col>
      <xdr:colOff>752475</xdr:colOff>
      <xdr:row>54</xdr:row>
      <xdr:rowOff>0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19050</xdr:colOff>
      <xdr:row>58</xdr:row>
      <xdr:rowOff>190500</xdr:rowOff>
    </xdr:from>
    <xdr:to>
      <xdr:col>13</xdr:col>
      <xdr:colOff>19050</xdr:colOff>
      <xdr:row>66</xdr:row>
      <xdr:rowOff>195262</xdr:rowOff>
    </xdr:to>
    <xdr:graphicFrame macro="">
      <xdr:nvGraphicFramePr>
        <xdr:cNvPr id="5" name="4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152400</xdr:colOff>
      <xdr:row>0</xdr:row>
      <xdr:rowOff>800100</xdr:rowOff>
    </xdr:from>
    <xdr:to>
      <xdr:col>2</xdr:col>
      <xdr:colOff>933450</xdr:colOff>
      <xdr:row>0</xdr:row>
      <xdr:rowOff>933450</xdr:rowOff>
    </xdr:to>
    <xdr:sp macro="" textlink="">
      <xdr:nvSpPr>
        <xdr:cNvPr id="6" name="Rectángulo 9"/>
        <xdr:cNvSpPr/>
      </xdr:nvSpPr>
      <xdr:spPr>
        <a:xfrm>
          <a:off x="1676400" y="190500"/>
          <a:ext cx="609600" cy="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oneCellAnchor>
    <xdr:from>
      <xdr:col>1</xdr:col>
      <xdr:colOff>85725</xdr:colOff>
      <xdr:row>0</xdr:row>
      <xdr:rowOff>352425</xdr:rowOff>
    </xdr:from>
    <xdr:ext cx="2590800" cy="933450"/>
    <xdr:pic>
      <xdr:nvPicPr>
        <xdr:cNvPr id="7" name="6 Imagen" descr="https://lh5.googleusercontent.com/gaSB--MdN5sJI7BqtOY878zdbwS7Xa6pzRO4xyWodJAR4LzruK-kbTGI4M0VtROCFqBVrOtMSl31_Z9UxyhtY87SM2OHBwJ_ETa_39evBwzXrxsfVpt-3SPWUGn5yqcTad8WAmbsVFDBnflq0v5eLK8"/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228" t="26667" r="14815" b="26667"/>
        <a:stretch/>
      </xdr:blipFill>
      <xdr:spPr bwMode="auto">
        <a:xfrm>
          <a:off x="847725" y="190500"/>
          <a:ext cx="2590800" cy="9334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11</xdr:col>
      <xdr:colOff>676275</xdr:colOff>
      <xdr:row>0</xdr:row>
      <xdr:rowOff>123825</xdr:rowOff>
    </xdr:from>
    <xdr:ext cx="1171575" cy="1476375"/>
    <xdr:pic>
      <xdr:nvPicPr>
        <xdr:cNvPr id="8" name="7 Imagen" descr="https://lh4.googleusercontent.com/nddzJEq5X-YYRekbAiR1GfuJP3oM9b1RGw7wFXDf7GrxcsyNDRhiQEvo8udAnEzfiPmQZLJup3XKxLmpNJL2Ea0VwCZGfCwvY-Kp26kxC-73off2NrDN25cc30ndqvg9ilEmrVxCtG9_IN_4B3IDNiQ"/>
        <xdr:cNvPicPr/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67" t="18566" r="19271" b="16033"/>
        <a:stretch/>
      </xdr:blipFill>
      <xdr:spPr bwMode="auto">
        <a:xfrm>
          <a:off x="9058275" y="123825"/>
          <a:ext cx="1171575" cy="147637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9524</xdr:colOff>
      <xdr:row>5</xdr:row>
      <xdr:rowOff>19051</xdr:rowOff>
    </xdr:from>
    <xdr:to>
      <xdr:col>13</xdr:col>
      <xdr:colOff>0</xdr:colOff>
      <xdr:row>15</xdr:row>
      <xdr:rowOff>142876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21</xdr:row>
      <xdr:rowOff>19050</xdr:rowOff>
    </xdr:from>
    <xdr:to>
      <xdr:col>12</xdr:col>
      <xdr:colOff>752475</xdr:colOff>
      <xdr:row>33</xdr:row>
      <xdr:rowOff>176212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9524</xdr:colOff>
      <xdr:row>40</xdr:row>
      <xdr:rowOff>14287</xdr:rowOff>
    </xdr:from>
    <xdr:to>
      <xdr:col>12</xdr:col>
      <xdr:colOff>752475</xdr:colOff>
      <xdr:row>54</xdr:row>
      <xdr:rowOff>0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19050</xdr:colOff>
      <xdr:row>58</xdr:row>
      <xdr:rowOff>190500</xdr:rowOff>
    </xdr:from>
    <xdr:to>
      <xdr:col>13</xdr:col>
      <xdr:colOff>19050</xdr:colOff>
      <xdr:row>66</xdr:row>
      <xdr:rowOff>195262</xdr:rowOff>
    </xdr:to>
    <xdr:graphicFrame macro="">
      <xdr:nvGraphicFramePr>
        <xdr:cNvPr id="5" name="4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152400</xdr:colOff>
      <xdr:row>0</xdr:row>
      <xdr:rowOff>800100</xdr:rowOff>
    </xdr:from>
    <xdr:to>
      <xdr:col>2</xdr:col>
      <xdr:colOff>933450</xdr:colOff>
      <xdr:row>0</xdr:row>
      <xdr:rowOff>933450</xdr:rowOff>
    </xdr:to>
    <xdr:sp macro="" textlink="">
      <xdr:nvSpPr>
        <xdr:cNvPr id="6" name="Rectángulo 9"/>
        <xdr:cNvSpPr/>
      </xdr:nvSpPr>
      <xdr:spPr>
        <a:xfrm>
          <a:off x="1676400" y="190500"/>
          <a:ext cx="609600" cy="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oneCellAnchor>
    <xdr:from>
      <xdr:col>1</xdr:col>
      <xdr:colOff>85725</xdr:colOff>
      <xdr:row>0</xdr:row>
      <xdr:rowOff>352425</xdr:rowOff>
    </xdr:from>
    <xdr:ext cx="2590800" cy="933450"/>
    <xdr:pic>
      <xdr:nvPicPr>
        <xdr:cNvPr id="7" name="6 Imagen" descr="https://lh5.googleusercontent.com/gaSB--MdN5sJI7BqtOY878zdbwS7Xa6pzRO4xyWodJAR4LzruK-kbTGI4M0VtROCFqBVrOtMSl31_Z9UxyhtY87SM2OHBwJ_ETa_39evBwzXrxsfVpt-3SPWUGn5yqcTad8WAmbsVFDBnflq0v5eLK8"/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228" t="26667" r="14815" b="26667"/>
        <a:stretch/>
      </xdr:blipFill>
      <xdr:spPr bwMode="auto">
        <a:xfrm>
          <a:off x="847725" y="190500"/>
          <a:ext cx="2590800" cy="9334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11</xdr:col>
      <xdr:colOff>676275</xdr:colOff>
      <xdr:row>0</xdr:row>
      <xdr:rowOff>123825</xdr:rowOff>
    </xdr:from>
    <xdr:ext cx="1171575" cy="1476375"/>
    <xdr:pic>
      <xdr:nvPicPr>
        <xdr:cNvPr id="8" name="7 Imagen" descr="https://lh4.googleusercontent.com/nddzJEq5X-YYRekbAiR1GfuJP3oM9b1RGw7wFXDf7GrxcsyNDRhiQEvo8udAnEzfiPmQZLJup3XKxLmpNJL2Ea0VwCZGfCwvY-Kp26kxC-73off2NrDN25cc30ndqvg9ilEmrVxCtG9_IN_4B3IDNiQ"/>
        <xdr:cNvPicPr/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67" t="18566" r="19271" b="16033"/>
        <a:stretch/>
      </xdr:blipFill>
      <xdr:spPr bwMode="auto">
        <a:xfrm>
          <a:off x="9058275" y="123825"/>
          <a:ext cx="1171575" cy="147637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9524</xdr:colOff>
      <xdr:row>5</xdr:row>
      <xdr:rowOff>19051</xdr:rowOff>
    </xdr:from>
    <xdr:to>
      <xdr:col>13</xdr:col>
      <xdr:colOff>0</xdr:colOff>
      <xdr:row>15</xdr:row>
      <xdr:rowOff>142876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21</xdr:row>
      <xdr:rowOff>19050</xdr:rowOff>
    </xdr:from>
    <xdr:to>
      <xdr:col>12</xdr:col>
      <xdr:colOff>752475</xdr:colOff>
      <xdr:row>33</xdr:row>
      <xdr:rowOff>176212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9524</xdr:colOff>
      <xdr:row>40</xdr:row>
      <xdr:rowOff>14287</xdr:rowOff>
    </xdr:from>
    <xdr:to>
      <xdr:col>12</xdr:col>
      <xdr:colOff>752475</xdr:colOff>
      <xdr:row>54</xdr:row>
      <xdr:rowOff>0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19050</xdr:colOff>
      <xdr:row>58</xdr:row>
      <xdr:rowOff>190500</xdr:rowOff>
    </xdr:from>
    <xdr:to>
      <xdr:col>13</xdr:col>
      <xdr:colOff>19050</xdr:colOff>
      <xdr:row>66</xdr:row>
      <xdr:rowOff>195262</xdr:rowOff>
    </xdr:to>
    <xdr:graphicFrame macro="">
      <xdr:nvGraphicFramePr>
        <xdr:cNvPr id="5" name="4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152400</xdr:colOff>
      <xdr:row>0</xdr:row>
      <xdr:rowOff>800100</xdr:rowOff>
    </xdr:from>
    <xdr:to>
      <xdr:col>2</xdr:col>
      <xdr:colOff>933450</xdr:colOff>
      <xdr:row>0</xdr:row>
      <xdr:rowOff>933450</xdr:rowOff>
    </xdr:to>
    <xdr:sp macro="" textlink="">
      <xdr:nvSpPr>
        <xdr:cNvPr id="6" name="Rectángulo 9"/>
        <xdr:cNvSpPr/>
      </xdr:nvSpPr>
      <xdr:spPr>
        <a:xfrm>
          <a:off x="1676400" y="190500"/>
          <a:ext cx="609600" cy="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oneCellAnchor>
    <xdr:from>
      <xdr:col>1</xdr:col>
      <xdr:colOff>85725</xdr:colOff>
      <xdr:row>0</xdr:row>
      <xdr:rowOff>352425</xdr:rowOff>
    </xdr:from>
    <xdr:ext cx="2590800" cy="933450"/>
    <xdr:pic>
      <xdr:nvPicPr>
        <xdr:cNvPr id="7" name="6 Imagen" descr="https://lh5.googleusercontent.com/gaSB--MdN5sJI7BqtOY878zdbwS7Xa6pzRO4xyWodJAR4LzruK-kbTGI4M0VtROCFqBVrOtMSl31_Z9UxyhtY87SM2OHBwJ_ETa_39evBwzXrxsfVpt-3SPWUGn5yqcTad8WAmbsVFDBnflq0v5eLK8"/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228" t="26667" r="14815" b="26667"/>
        <a:stretch/>
      </xdr:blipFill>
      <xdr:spPr bwMode="auto">
        <a:xfrm>
          <a:off x="847725" y="190500"/>
          <a:ext cx="2590800" cy="9334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11</xdr:col>
      <xdr:colOff>676275</xdr:colOff>
      <xdr:row>0</xdr:row>
      <xdr:rowOff>123825</xdr:rowOff>
    </xdr:from>
    <xdr:ext cx="1171575" cy="1476375"/>
    <xdr:pic>
      <xdr:nvPicPr>
        <xdr:cNvPr id="8" name="7 Imagen" descr="https://lh4.googleusercontent.com/nddzJEq5X-YYRekbAiR1GfuJP3oM9b1RGw7wFXDf7GrxcsyNDRhiQEvo8udAnEzfiPmQZLJup3XKxLmpNJL2Ea0VwCZGfCwvY-Kp26kxC-73off2NrDN25cc30ndqvg9ilEmrVxCtG9_IN_4B3IDNiQ"/>
        <xdr:cNvPicPr/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67" t="18566" r="19271" b="16033"/>
        <a:stretch/>
      </xdr:blipFill>
      <xdr:spPr bwMode="auto">
        <a:xfrm>
          <a:off x="9058275" y="123825"/>
          <a:ext cx="1171575" cy="147637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9524</xdr:colOff>
      <xdr:row>5</xdr:row>
      <xdr:rowOff>19051</xdr:rowOff>
    </xdr:from>
    <xdr:to>
      <xdr:col>13</xdr:col>
      <xdr:colOff>0</xdr:colOff>
      <xdr:row>15</xdr:row>
      <xdr:rowOff>142876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21</xdr:row>
      <xdr:rowOff>19050</xdr:rowOff>
    </xdr:from>
    <xdr:to>
      <xdr:col>12</xdr:col>
      <xdr:colOff>752475</xdr:colOff>
      <xdr:row>33</xdr:row>
      <xdr:rowOff>176212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9524</xdr:colOff>
      <xdr:row>40</xdr:row>
      <xdr:rowOff>14287</xdr:rowOff>
    </xdr:from>
    <xdr:to>
      <xdr:col>12</xdr:col>
      <xdr:colOff>752475</xdr:colOff>
      <xdr:row>54</xdr:row>
      <xdr:rowOff>0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19050</xdr:colOff>
      <xdr:row>58</xdr:row>
      <xdr:rowOff>190500</xdr:rowOff>
    </xdr:from>
    <xdr:to>
      <xdr:col>13</xdr:col>
      <xdr:colOff>19050</xdr:colOff>
      <xdr:row>66</xdr:row>
      <xdr:rowOff>195262</xdr:rowOff>
    </xdr:to>
    <xdr:graphicFrame macro="">
      <xdr:nvGraphicFramePr>
        <xdr:cNvPr id="5" name="4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0</xdr:col>
      <xdr:colOff>161925</xdr:colOff>
      <xdr:row>0</xdr:row>
      <xdr:rowOff>180975</xdr:rowOff>
    </xdr:from>
    <xdr:ext cx="2266950" cy="790575"/>
    <xdr:pic>
      <xdr:nvPicPr>
        <xdr:cNvPr id="9" name="image1.png" title="Imagen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61925" y="180975"/>
          <a:ext cx="2266950" cy="7905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314325</xdr:colOff>
      <xdr:row>0</xdr:row>
      <xdr:rowOff>0</xdr:rowOff>
    </xdr:from>
    <xdr:ext cx="3257550" cy="1133475"/>
    <xdr:pic>
      <xdr:nvPicPr>
        <xdr:cNvPr id="10" name="image2.png" title="Imagen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715125" y="0"/>
          <a:ext cx="3257550" cy="1133475"/>
        </a:xfrm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714374</xdr:colOff>
      <xdr:row>6</xdr:row>
      <xdr:rowOff>19048</xdr:rowOff>
    </xdr:from>
    <xdr:ext cx="5038725" cy="2895601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9525</xdr:colOff>
      <xdr:row>23</xdr:row>
      <xdr:rowOff>19050</xdr:rowOff>
    </xdr:from>
    <xdr:ext cx="5029200" cy="2752725"/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6</xdr:col>
      <xdr:colOff>0</xdr:colOff>
      <xdr:row>42</xdr:row>
      <xdr:rowOff>9525</xdr:rowOff>
    </xdr:from>
    <xdr:ext cx="5029200" cy="2790825"/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161925</xdr:colOff>
      <xdr:row>0</xdr:row>
      <xdr:rowOff>180975</xdr:rowOff>
    </xdr:from>
    <xdr:ext cx="2266950" cy="790575"/>
    <xdr:pic>
      <xdr:nvPicPr>
        <xdr:cNvPr id="5" name="image1.png" title="Imagen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61925" y="180975"/>
          <a:ext cx="2266950" cy="7905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314325</xdr:colOff>
      <xdr:row>0</xdr:row>
      <xdr:rowOff>0</xdr:rowOff>
    </xdr:from>
    <xdr:ext cx="3257550" cy="1133475"/>
    <xdr:pic>
      <xdr:nvPicPr>
        <xdr:cNvPr id="6" name="image2.png" title="Imagen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010525" y="0"/>
          <a:ext cx="3257550" cy="1133475"/>
        </a:xfrm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6</xdr:row>
      <xdr:rowOff>19049</xdr:rowOff>
    </xdr:from>
    <xdr:ext cx="5000625" cy="2695575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9525</xdr:colOff>
      <xdr:row>23</xdr:row>
      <xdr:rowOff>19050</xdr:rowOff>
    </xdr:from>
    <xdr:ext cx="5029200" cy="2752725"/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6</xdr:col>
      <xdr:colOff>0</xdr:colOff>
      <xdr:row>42</xdr:row>
      <xdr:rowOff>9525</xdr:rowOff>
    </xdr:from>
    <xdr:ext cx="5029200" cy="2790825"/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161925</xdr:colOff>
      <xdr:row>0</xdr:row>
      <xdr:rowOff>180975</xdr:rowOff>
    </xdr:from>
    <xdr:ext cx="2266950" cy="790575"/>
    <xdr:pic>
      <xdr:nvPicPr>
        <xdr:cNvPr id="6" name="image1.png" title="Imagen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61925" y="180975"/>
          <a:ext cx="2266950" cy="7905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314325</xdr:colOff>
      <xdr:row>0</xdr:row>
      <xdr:rowOff>0</xdr:rowOff>
    </xdr:from>
    <xdr:ext cx="3257550" cy="1133475"/>
    <xdr:pic>
      <xdr:nvPicPr>
        <xdr:cNvPr id="7" name="image2.png" title="Imagen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010525" y="0"/>
          <a:ext cx="3257550" cy="11334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9"/>
  <sheetViews>
    <sheetView workbookViewId="0">
      <selection activeCell="A4" sqref="A4"/>
    </sheetView>
  </sheetViews>
  <sheetFormatPr baseColWidth="10" defaultRowHeight="15" x14ac:dyDescent="0.25"/>
  <cols>
    <col min="1" max="1" width="11.42578125" style="2"/>
    <col min="3" max="3" width="17.140625" customWidth="1"/>
    <col min="4" max="4" width="14.85546875" bestFit="1" customWidth="1"/>
  </cols>
  <sheetData>
    <row r="1" spans="1:16" ht="133.5" customHeight="1" x14ac:dyDescent="0.25">
      <c r="A1" s="28"/>
      <c r="B1" s="105" t="s">
        <v>44</v>
      </c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29"/>
      <c r="P1" s="1"/>
    </row>
    <row r="2" spans="1:16" ht="23.25" x14ac:dyDescent="0.35">
      <c r="A2" s="28"/>
      <c r="B2" s="106" t="s">
        <v>0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28"/>
    </row>
    <row r="4" spans="1:16" ht="23.25" x14ac:dyDescent="0.35">
      <c r="B4" s="108" t="s">
        <v>43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</row>
    <row r="5" spans="1:16" s="2" customFormat="1" ht="23.25" x14ac:dyDescent="0.35">
      <c r="B5" s="8"/>
      <c r="C5" s="8"/>
      <c r="D5" s="8"/>
      <c r="E5" s="8"/>
      <c r="F5" s="8"/>
      <c r="G5" s="21" t="s">
        <v>21</v>
      </c>
      <c r="H5" s="8"/>
      <c r="I5" s="8"/>
      <c r="J5" s="8"/>
      <c r="K5" s="8"/>
      <c r="L5" s="8"/>
      <c r="M5" s="8"/>
      <c r="N5" s="8"/>
    </row>
    <row r="6" spans="1:16" s="2" customFormat="1" ht="23.25" x14ac:dyDescent="0.35">
      <c r="B6" s="20" t="s">
        <v>20</v>
      </c>
      <c r="E6" s="8"/>
      <c r="F6" s="8"/>
      <c r="G6" s="8"/>
      <c r="H6" s="8"/>
      <c r="I6" s="8"/>
      <c r="J6" s="8"/>
      <c r="K6" s="8"/>
      <c r="L6" s="8"/>
      <c r="M6" s="8"/>
      <c r="N6" s="8"/>
    </row>
    <row r="7" spans="1:16" s="2" customFormat="1" ht="23.25" x14ac:dyDescent="0.35">
      <c r="B7" s="111" t="s">
        <v>8</v>
      </c>
      <c r="C7" s="111"/>
      <c r="D7" s="111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6" s="2" customFormat="1" ht="23.25" x14ac:dyDescent="0.35">
      <c r="B8" s="3">
        <v>1</v>
      </c>
      <c r="C8" s="4" t="s">
        <v>1</v>
      </c>
      <c r="D8" s="19">
        <v>658</v>
      </c>
      <c r="E8" s="8"/>
      <c r="F8" s="8"/>
      <c r="G8" s="8"/>
      <c r="H8" s="8"/>
      <c r="I8" s="8"/>
      <c r="J8" s="8"/>
      <c r="K8" s="8"/>
      <c r="L8" s="8"/>
      <c r="M8" s="8"/>
      <c r="N8" s="8"/>
    </row>
    <row r="9" spans="1:16" ht="15.75" x14ac:dyDescent="0.25">
      <c r="B9" s="3">
        <v>2</v>
      </c>
      <c r="C9" s="5" t="s">
        <v>30</v>
      </c>
      <c r="D9" s="19">
        <v>623</v>
      </c>
    </row>
    <row r="10" spans="1:16" ht="15.75" x14ac:dyDescent="0.25">
      <c r="B10" s="3">
        <v>3</v>
      </c>
      <c r="C10" s="5" t="s">
        <v>2</v>
      </c>
      <c r="D10" s="19">
        <v>348</v>
      </c>
    </row>
    <row r="11" spans="1:16" ht="31.5" x14ac:dyDescent="0.25">
      <c r="B11" s="3">
        <v>4</v>
      </c>
      <c r="C11" s="4" t="s">
        <v>3</v>
      </c>
      <c r="D11" s="19">
        <v>16</v>
      </c>
    </row>
    <row r="12" spans="1:16" ht="15.75" x14ac:dyDescent="0.25">
      <c r="B12" s="25">
        <v>5</v>
      </c>
      <c r="C12" s="4" t="s">
        <v>4</v>
      </c>
      <c r="D12" s="19">
        <v>23</v>
      </c>
    </row>
    <row r="13" spans="1:16" ht="15.75" x14ac:dyDescent="0.25">
      <c r="B13" s="25">
        <v>6</v>
      </c>
      <c r="C13" s="4" t="s">
        <v>37</v>
      </c>
      <c r="D13" s="6">
        <v>0</v>
      </c>
    </row>
    <row r="14" spans="1:16" ht="15.75" x14ac:dyDescent="0.25">
      <c r="B14" s="3">
        <v>7</v>
      </c>
      <c r="C14" s="4" t="s">
        <v>38</v>
      </c>
      <c r="D14" s="19">
        <v>0</v>
      </c>
    </row>
    <row r="15" spans="1:16" ht="15.75" x14ac:dyDescent="0.25">
      <c r="B15" s="104" t="s">
        <v>23</v>
      </c>
      <c r="C15" s="104"/>
      <c r="D15" s="26">
        <f>SUM(D8+D10+D11+D9+D13+D12)</f>
        <v>1668</v>
      </c>
    </row>
    <row r="17" spans="2:7" ht="15.75" x14ac:dyDescent="0.25">
      <c r="B17" s="109" t="s">
        <v>34</v>
      </c>
      <c r="C17" s="110"/>
      <c r="D17" s="23">
        <v>1668</v>
      </c>
      <c r="G17" s="22" t="s">
        <v>41</v>
      </c>
    </row>
    <row r="18" spans="2:7" ht="15.75" x14ac:dyDescent="0.25">
      <c r="B18" s="109" t="s">
        <v>35</v>
      </c>
      <c r="C18" s="110"/>
      <c r="D18" s="23">
        <v>16</v>
      </c>
    </row>
    <row r="19" spans="2:7" s="2" customFormat="1" ht="15.75" x14ac:dyDescent="0.25">
      <c r="B19" s="109" t="s">
        <v>39</v>
      </c>
      <c r="C19" s="110"/>
      <c r="D19" s="23">
        <v>23</v>
      </c>
      <c r="E19"/>
    </row>
    <row r="20" spans="2:7" s="2" customFormat="1" ht="15.75" x14ac:dyDescent="0.25">
      <c r="B20" s="109" t="s">
        <v>37</v>
      </c>
      <c r="C20" s="110"/>
      <c r="D20" s="23">
        <v>0</v>
      </c>
    </row>
    <row r="21" spans="2:7" s="2" customFormat="1" ht="15.75" x14ac:dyDescent="0.25">
      <c r="B21" s="109" t="s">
        <v>38</v>
      </c>
      <c r="C21" s="110"/>
      <c r="D21" s="23">
        <v>0</v>
      </c>
      <c r="G21" s="21" t="s">
        <v>25</v>
      </c>
    </row>
    <row r="22" spans="2:7" ht="15.75" x14ac:dyDescent="0.25">
      <c r="B22" s="109" t="s">
        <v>36</v>
      </c>
      <c r="C22" s="110"/>
      <c r="D22" s="27">
        <f>(D17)-D18</f>
        <v>1652</v>
      </c>
    </row>
    <row r="25" spans="2:7" ht="15.75" x14ac:dyDescent="0.25">
      <c r="B25" s="20" t="s">
        <v>24</v>
      </c>
    </row>
    <row r="26" spans="2:7" ht="15.75" x14ac:dyDescent="0.25">
      <c r="B26" s="104" t="s">
        <v>9</v>
      </c>
      <c r="C26" s="104"/>
      <c r="D26" s="104"/>
    </row>
    <row r="27" spans="2:7" ht="15.75" x14ac:dyDescent="0.25">
      <c r="B27" s="9">
        <v>1</v>
      </c>
      <c r="C27" s="10" t="s">
        <v>5</v>
      </c>
      <c r="D27" s="11">
        <v>21</v>
      </c>
    </row>
    <row r="28" spans="2:7" ht="31.5" x14ac:dyDescent="0.25">
      <c r="B28" s="3">
        <v>2</v>
      </c>
      <c r="C28" s="12" t="s">
        <v>31</v>
      </c>
      <c r="D28" s="11">
        <v>1232</v>
      </c>
    </row>
    <row r="29" spans="2:7" ht="15.75" x14ac:dyDescent="0.25">
      <c r="B29" s="9">
        <v>3</v>
      </c>
      <c r="C29" s="13" t="s">
        <v>6</v>
      </c>
      <c r="D29" s="14">
        <v>0</v>
      </c>
    </row>
    <row r="30" spans="2:7" ht="15.75" x14ac:dyDescent="0.25">
      <c r="B30" s="9">
        <v>4</v>
      </c>
      <c r="C30" s="10" t="s">
        <v>7</v>
      </c>
      <c r="D30" s="14">
        <v>28</v>
      </c>
    </row>
    <row r="31" spans="2:7" ht="15.75" x14ac:dyDescent="0.25">
      <c r="B31" s="112" t="s">
        <v>23</v>
      </c>
      <c r="C31" s="113"/>
      <c r="D31" s="24">
        <f>SUM(D27:D30)</f>
        <v>1281</v>
      </c>
    </row>
    <row r="35" spans="2:13" x14ac:dyDescent="0.25">
      <c r="G35" s="114" t="s">
        <v>42</v>
      </c>
      <c r="H35" s="114"/>
      <c r="I35" s="114"/>
      <c r="J35" s="114"/>
      <c r="K35" s="114"/>
      <c r="L35" s="114"/>
      <c r="M35" s="114"/>
    </row>
    <row r="36" spans="2:13" x14ac:dyDescent="0.25">
      <c r="G36" s="114"/>
      <c r="H36" s="114"/>
      <c r="I36" s="114"/>
      <c r="J36" s="114"/>
      <c r="K36" s="114"/>
      <c r="L36" s="114"/>
      <c r="M36" s="114"/>
    </row>
    <row r="38" spans="2:13" x14ac:dyDescent="0.25">
      <c r="B38" s="2"/>
      <c r="C38" s="2"/>
      <c r="D38" s="2"/>
    </row>
    <row r="39" spans="2:13" s="2" customFormat="1" x14ac:dyDescent="0.25"/>
    <row r="40" spans="2:13" s="2" customFormat="1" ht="15.75" x14ac:dyDescent="0.25">
      <c r="B40" s="20" t="s">
        <v>26</v>
      </c>
      <c r="C40" s="15"/>
      <c r="D40" s="16"/>
      <c r="G40" s="21" t="s">
        <v>27</v>
      </c>
    </row>
    <row r="41" spans="2:13" s="2" customFormat="1" ht="15.75" x14ac:dyDescent="0.25">
      <c r="B41" s="111" t="s">
        <v>19</v>
      </c>
      <c r="C41" s="111"/>
      <c r="D41" s="111"/>
    </row>
    <row r="42" spans="2:13" ht="15.75" x14ac:dyDescent="0.25">
      <c r="B42" s="9">
        <v>1</v>
      </c>
      <c r="C42" s="10" t="s">
        <v>10</v>
      </c>
      <c r="D42" s="11">
        <v>32</v>
      </c>
    </row>
    <row r="43" spans="2:13" ht="15.75" x14ac:dyDescent="0.25">
      <c r="B43" s="9">
        <v>2</v>
      </c>
      <c r="C43" s="10" t="s">
        <v>11</v>
      </c>
      <c r="D43" s="11">
        <v>1584</v>
      </c>
    </row>
    <row r="44" spans="2:13" ht="15.75" x14ac:dyDescent="0.25">
      <c r="B44" s="9">
        <v>3</v>
      </c>
      <c r="C44" s="10" t="s">
        <v>33</v>
      </c>
      <c r="D44" s="11">
        <v>0</v>
      </c>
    </row>
    <row r="45" spans="2:13" ht="15.75" x14ac:dyDescent="0.25">
      <c r="B45" s="9">
        <v>4</v>
      </c>
      <c r="C45" s="10" t="s">
        <v>32</v>
      </c>
      <c r="D45" s="11">
        <v>52</v>
      </c>
    </row>
    <row r="46" spans="2:13" ht="15.75" x14ac:dyDescent="0.25">
      <c r="B46" s="9">
        <v>5</v>
      </c>
      <c r="C46" s="10" t="s">
        <v>12</v>
      </c>
      <c r="D46" s="11">
        <v>0</v>
      </c>
    </row>
    <row r="47" spans="2:13" ht="15.75" x14ac:dyDescent="0.25">
      <c r="B47" s="104" t="s">
        <v>23</v>
      </c>
      <c r="C47" s="104"/>
      <c r="D47" s="7">
        <f>SUM(D42:D46)</f>
        <v>1668</v>
      </c>
    </row>
    <row r="54" spans="2:7" x14ac:dyDescent="0.25">
      <c r="B54" s="2"/>
      <c r="C54" s="2"/>
      <c r="D54" s="2"/>
    </row>
    <row r="55" spans="2:7" ht="15.75" customHeight="1" x14ac:dyDescent="0.25">
      <c r="B55" s="20" t="s">
        <v>28</v>
      </c>
      <c r="G55" s="22" t="s">
        <v>41</v>
      </c>
    </row>
    <row r="56" spans="2:7" ht="15.75" x14ac:dyDescent="0.25">
      <c r="B56" s="104" t="s">
        <v>13</v>
      </c>
      <c r="C56" s="104"/>
      <c r="D56" s="104"/>
    </row>
    <row r="57" spans="2:7" ht="31.5" x14ac:dyDescent="0.25">
      <c r="B57" s="17">
        <v>1</v>
      </c>
      <c r="C57" s="18" t="s">
        <v>14</v>
      </c>
      <c r="D57" s="19">
        <v>0</v>
      </c>
    </row>
    <row r="58" spans="2:7" ht="31.5" x14ac:dyDescent="0.25">
      <c r="B58" s="17">
        <v>2</v>
      </c>
      <c r="C58" s="18" t="s">
        <v>15</v>
      </c>
      <c r="D58" s="19">
        <v>1281</v>
      </c>
      <c r="G58" s="21" t="s">
        <v>29</v>
      </c>
    </row>
    <row r="59" spans="2:7" ht="31.5" x14ac:dyDescent="0.25">
      <c r="B59" s="17">
        <v>3</v>
      </c>
      <c r="C59" s="18" t="s">
        <v>16</v>
      </c>
      <c r="D59" s="19">
        <v>612</v>
      </c>
    </row>
    <row r="60" spans="2:7" ht="31.5" x14ac:dyDescent="0.25">
      <c r="B60" s="17">
        <v>4</v>
      </c>
      <c r="C60" s="18" t="s">
        <v>17</v>
      </c>
      <c r="D60" s="19">
        <v>0</v>
      </c>
    </row>
    <row r="61" spans="2:7" ht="31.5" x14ac:dyDescent="0.25">
      <c r="B61" s="17">
        <v>5</v>
      </c>
      <c r="C61" s="18" t="s">
        <v>18</v>
      </c>
      <c r="D61" s="19">
        <v>0</v>
      </c>
    </row>
    <row r="62" spans="2:7" s="2" customFormat="1" ht="15.75" x14ac:dyDescent="0.25">
      <c r="B62" s="30"/>
      <c r="C62" s="31"/>
      <c r="D62" s="32"/>
    </row>
    <row r="63" spans="2:7" s="2" customFormat="1" ht="15.75" x14ac:dyDescent="0.25">
      <c r="B63" s="30"/>
      <c r="C63" s="31"/>
      <c r="D63" s="32"/>
    </row>
    <row r="64" spans="2:7" x14ac:dyDescent="0.25">
      <c r="G64" s="22" t="s">
        <v>22</v>
      </c>
    </row>
    <row r="68" spans="7:13" x14ac:dyDescent="0.25">
      <c r="G68" s="114" t="s">
        <v>40</v>
      </c>
      <c r="H68" s="114"/>
      <c r="I68" s="114"/>
      <c r="J68" s="114"/>
      <c r="K68" s="114"/>
      <c r="L68" s="114"/>
      <c r="M68" s="114"/>
    </row>
    <row r="69" spans="7:13" ht="33" customHeight="1" x14ac:dyDescent="0.25">
      <c r="G69" s="114"/>
      <c r="H69" s="114"/>
      <c r="I69" s="114"/>
      <c r="J69" s="114"/>
      <c r="K69" s="114"/>
      <c r="L69" s="114"/>
      <c r="M69" s="114"/>
    </row>
  </sheetData>
  <mergeCells count="18">
    <mergeCell ref="B31:C31"/>
    <mergeCell ref="B47:C47"/>
    <mergeCell ref="B41:D41"/>
    <mergeCell ref="G35:M36"/>
    <mergeCell ref="G68:M69"/>
    <mergeCell ref="B56:D56"/>
    <mergeCell ref="B26:D26"/>
    <mergeCell ref="B1:N1"/>
    <mergeCell ref="B2:N2"/>
    <mergeCell ref="B4:N4"/>
    <mergeCell ref="B22:C22"/>
    <mergeCell ref="B21:C21"/>
    <mergeCell ref="B18:C18"/>
    <mergeCell ref="B17:C17"/>
    <mergeCell ref="B19:C19"/>
    <mergeCell ref="B20:C20"/>
    <mergeCell ref="B7:D7"/>
    <mergeCell ref="B15:C15"/>
  </mergeCells>
  <pageMargins left="0.7" right="0.7" top="0.75" bottom="0.75" header="0.3" footer="0.3"/>
  <pageSetup scale="68" fitToHeight="0" orientation="landscape" horizontalDpi="429496729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9"/>
  <sheetViews>
    <sheetView topLeftCell="A11" workbookViewId="0">
      <selection activeCell="E64" sqref="E64"/>
    </sheetView>
  </sheetViews>
  <sheetFormatPr baseColWidth="10" defaultRowHeight="15" x14ac:dyDescent="0.25"/>
  <cols>
    <col min="1" max="2" width="11.42578125" style="2"/>
    <col min="3" max="3" width="17.140625" style="2" customWidth="1"/>
    <col min="4" max="4" width="14.85546875" style="2" bestFit="1" customWidth="1"/>
    <col min="5" max="16384" width="11.42578125" style="2"/>
  </cols>
  <sheetData>
    <row r="1" spans="1:16" ht="133.5" customHeight="1" x14ac:dyDescent="0.25">
      <c r="A1" s="28"/>
      <c r="B1" s="105" t="s">
        <v>46</v>
      </c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29"/>
      <c r="P1" s="1"/>
    </row>
    <row r="2" spans="1:16" ht="23.25" x14ac:dyDescent="0.35">
      <c r="A2" s="28"/>
      <c r="B2" s="106" t="s">
        <v>0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28"/>
    </row>
    <row r="4" spans="1:16" ht="23.25" x14ac:dyDescent="0.35">
      <c r="B4" s="108" t="s">
        <v>45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</row>
    <row r="5" spans="1:16" ht="23.25" x14ac:dyDescent="0.35">
      <c r="B5" s="35"/>
      <c r="C5" s="35"/>
      <c r="D5" s="35"/>
      <c r="E5" s="35"/>
      <c r="F5" s="35"/>
      <c r="G5" s="21" t="s">
        <v>21</v>
      </c>
      <c r="H5" s="35"/>
      <c r="I5" s="35"/>
      <c r="J5" s="35"/>
      <c r="K5" s="35"/>
      <c r="L5" s="35"/>
      <c r="M5" s="35"/>
      <c r="N5" s="35"/>
    </row>
    <row r="6" spans="1:16" ht="23.25" x14ac:dyDescent="0.35">
      <c r="B6" s="20" t="s">
        <v>20</v>
      </c>
      <c r="E6" s="35"/>
      <c r="F6" s="35"/>
      <c r="G6" s="35"/>
      <c r="H6" s="35"/>
      <c r="I6" s="35"/>
      <c r="J6" s="35"/>
      <c r="K6" s="35"/>
      <c r="L6" s="35"/>
      <c r="M6" s="35"/>
      <c r="N6" s="35"/>
    </row>
    <row r="7" spans="1:16" ht="23.25" x14ac:dyDescent="0.35">
      <c r="B7" s="111" t="s">
        <v>8</v>
      </c>
      <c r="C7" s="111"/>
      <c r="D7" s="111"/>
      <c r="E7" s="35"/>
      <c r="F7" s="35"/>
      <c r="G7" s="35"/>
      <c r="H7" s="35"/>
      <c r="I7" s="35"/>
      <c r="J7" s="35"/>
      <c r="K7" s="35"/>
      <c r="L7" s="35"/>
      <c r="M7" s="35"/>
      <c r="N7" s="35"/>
    </row>
    <row r="8" spans="1:16" ht="23.25" x14ac:dyDescent="0.35">
      <c r="B8" s="34">
        <v>1</v>
      </c>
      <c r="C8" s="4" t="s">
        <v>1</v>
      </c>
      <c r="D8" s="19">
        <v>499</v>
      </c>
      <c r="E8" s="35"/>
      <c r="F8" s="35"/>
      <c r="G8" s="35"/>
      <c r="H8" s="35"/>
      <c r="I8" s="35"/>
      <c r="J8" s="35"/>
      <c r="K8" s="35"/>
      <c r="L8" s="35"/>
      <c r="M8" s="35"/>
      <c r="N8" s="35"/>
    </row>
    <row r="9" spans="1:16" ht="15.75" x14ac:dyDescent="0.25">
      <c r="B9" s="34">
        <v>2</v>
      </c>
      <c r="C9" s="5" t="s">
        <v>30</v>
      </c>
      <c r="D9" s="19">
        <v>554</v>
      </c>
    </row>
    <row r="10" spans="1:16" ht="15.75" x14ac:dyDescent="0.25">
      <c r="B10" s="34">
        <v>3</v>
      </c>
      <c r="C10" s="5" t="s">
        <v>2</v>
      </c>
      <c r="D10" s="19">
        <v>224</v>
      </c>
    </row>
    <row r="11" spans="1:16" ht="31.5" x14ac:dyDescent="0.25">
      <c r="B11" s="34">
        <v>4</v>
      </c>
      <c r="C11" s="4" t="s">
        <v>3</v>
      </c>
      <c r="D11" s="19">
        <v>35</v>
      </c>
    </row>
    <row r="12" spans="1:16" ht="15.75" x14ac:dyDescent="0.25">
      <c r="B12" s="34">
        <v>5</v>
      </c>
      <c r="C12" s="4" t="s">
        <v>4</v>
      </c>
      <c r="D12" s="19">
        <v>9</v>
      </c>
    </row>
    <row r="13" spans="1:16" ht="15.75" x14ac:dyDescent="0.25">
      <c r="B13" s="34">
        <v>6</v>
      </c>
      <c r="C13" s="4" t="s">
        <v>37</v>
      </c>
      <c r="D13" s="6">
        <v>0</v>
      </c>
    </row>
    <row r="14" spans="1:16" ht="15.75" x14ac:dyDescent="0.25">
      <c r="B14" s="34">
        <v>7</v>
      </c>
      <c r="C14" s="4" t="s">
        <v>38</v>
      </c>
      <c r="D14" s="19">
        <v>0</v>
      </c>
    </row>
    <row r="15" spans="1:16" ht="15.75" x14ac:dyDescent="0.25">
      <c r="B15" s="104" t="s">
        <v>23</v>
      </c>
      <c r="C15" s="104"/>
      <c r="D15" s="26">
        <f>SUM(D8+D10+D11+D9+D13+D12)</f>
        <v>1321</v>
      </c>
    </row>
    <row r="17" spans="2:7" ht="15.75" x14ac:dyDescent="0.25">
      <c r="B17" s="109" t="s">
        <v>34</v>
      </c>
      <c r="C17" s="110"/>
      <c r="D17" s="23">
        <v>1321</v>
      </c>
      <c r="G17" s="22" t="s">
        <v>41</v>
      </c>
    </row>
    <row r="18" spans="2:7" ht="15.75" x14ac:dyDescent="0.25">
      <c r="B18" s="109" t="s">
        <v>35</v>
      </c>
      <c r="C18" s="110"/>
      <c r="D18" s="23">
        <v>35</v>
      </c>
    </row>
    <row r="19" spans="2:7" ht="15.75" x14ac:dyDescent="0.25">
      <c r="B19" s="109" t="s">
        <v>39</v>
      </c>
      <c r="C19" s="110"/>
      <c r="D19" s="23">
        <v>9</v>
      </c>
    </row>
    <row r="20" spans="2:7" ht="15.75" x14ac:dyDescent="0.25">
      <c r="B20" s="109" t="s">
        <v>37</v>
      </c>
      <c r="C20" s="110"/>
      <c r="D20" s="23">
        <v>0</v>
      </c>
    </row>
    <row r="21" spans="2:7" ht="15.75" x14ac:dyDescent="0.25">
      <c r="B21" s="109" t="s">
        <v>38</v>
      </c>
      <c r="C21" s="110"/>
      <c r="D21" s="23">
        <v>0</v>
      </c>
      <c r="G21" s="21" t="s">
        <v>25</v>
      </c>
    </row>
    <row r="22" spans="2:7" ht="15.75" x14ac:dyDescent="0.25">
      <c r="B22" s="109" t="s">
        <v>36</v>
      </c>
      <c r="C22" s="110"/>
      <c r="D22" s="27">
        <f>(D17)-D18</f>
        <v>1286</v>
      </c>
    </row>
    <row r="25" spans="2:7" ht="15.75" x14ac:dyDescent="0.25">
      <c r="B25" s="20" t="s">
        <v>24</v>
      </c>
    </row>
    <row r="26" spans="2:7" ht="15.75" x14ac:dyDescent="0.25">
      <c r="B26" s="104" t="s">
        <v>9</v>
      </c>
      <c r="C26" s="104"/>
      <c r="D26" s="104"/>
    </row>
    <row r="27" spans="2:7" ht="15.75" x14ac:dyDescent="0.25">
      <c r="B27" s="33">
        <v>1</v>
      </c>
      <c r="C27" s="10" t="s">
        <v>5</v>
      </c>
      <c r="D27" s="11">
        <v>29</v>
      </c>
    </row>
    <row r="28" spans="2:7" ht="31.5" x14ac:dyDescent="0.25">
      <c r="B28" s="34">
        <v>2</v>
      </c>
      <c r="C28" s="12" t="s">
        <v>31</v>
      </c>
      <c r="D28" s="11">
        <v>973</v>
      </c>
    </row>
    <row r="29" spans="2:7" ht="15.75" x14ac:dyDescent="0.25">
      <c r="B29" s="33">
        <v>3</v>
      </c>
      <c r="C29" s="13" t="s">
        <v>6</v>
      </c>
      <c r="D29" s="14">
        <v>0</v>
      </c>
    </row>
    <row r="30" spans="2:7" ht="15.75" x14ac:dyDescent="0.25">
      <c r="B30" s="33">
        <v>4</v>
      </c>
      <c r="C30" s="10" t="s">
        <v>7</v>
      </c>
      <c r="D30" s="14">
        <v>51</v>
      </c>
    </row>
    <row r="31" spans="2:7" ht="15.75" x14ac:dyDescent="0.25">
      <c r="B31" s="112" t="s">
        <v>23</v>
      </c>
      <c r="C31" s="113"/>
      <c r="D31" s="34">
        <f>SUM(D27:D30)</f>
        <v>1053</v>
      </c>
    </row>
    <row r="35" spans="2:13" x14ac:dyDescent="0.25">
      <c r="G35" s="114" t="s">
        <v>42</v>
      </c>
      <c r="H35" s="114"/>
      <c r="I35" s="114"/>
      <c r="J35" s="114"/>
      <c r="K35" s="114"/>
      <c r="L35" s="114"/>
      <c r="M35" s="114"/>
    </row>
    <row r="36" spans="2:13" x14ac:dyDescent="0.25">
      <c r="G36" s="114"/>
      <c r="H36" s="114"/>
      <c r="I36" s="114"/>
      <c r="J36" s="114"/>
      <c r="K36" s="114"/>
      <c r="L36" s="114"/>
      <c r="M36" s="114"/>
    </row>
    <row r="40" spans="2:13" ht="15.75" x14ac:dyDescent="0.25">
      <c r="B40" s="20" t="s">
        <v>26</v>
      </c>
      <c r="C40" s="15"/>
      <c r="D40" s="16"/>
      <c r="G40" s="21" t="s">
        <v>27</v>
      </c>
    </row>
    <row r="41" spans="2:13" ht="15.75" x14ac:dyDescent="0.25">
      <c r="B41" s="111" t="s">
        <v>19</v>
      </c>
      <c r="C41" s="111"/>
      <c r="D41" s="111"/>
    </row>
    <row r="42" spans="2:13" ht="15.75" x14ac:dyDescent="0.25">
      <c r="B42" s="33">
        <v>1</v>
      </c>
      <c r="C42" s="10" t="s">
        <v>10</v>
      </c>
      <c r="D42" s="11">
        <v>47</v>
      </c>
    </row>
    <row r="43" spans="2:13" ht="15.75" x14ac:dyDescent="0.25">
      <c r="B43" s="33">
        <v>2</v>
      </c>
      <c r="C43" s="10" t="s">
        <v>11</v>
      </c>
      <c r="D43" s="11">
        <v>1215</v>
      </c>
    </row>
    <row r="44" spans="2:13" ht="15.75" x14ac:dyDescent="0.25">
      <c r="B44" s="33">
        <v>3</v>
      </c>
      <c r="C44" s="10" t="s">
        <v>33</v>
      </c>
      <c r="D44" s="11">
        <v>0</v>
      </c>
    </row>
    <row r="45" spans="2:13" ht="15.75" x14ac:dyDescent="0.25">
      <c r="B45" s="33">
        <v>4</v>
      </c>
      <c r="C45" s="10" t="s">
        <v>32</v>
      </c>
      <c r="D45" s="11">
        <v>59</v>
      </c>
    </row>
    <row r="46" spans="2:13" ht="15.75" x14ac:dyDescent="0.25">
      <c r="B46" s="33">
        <v>5</v>
      </c>
      <c r="C46" s="10" t="s">
        <v>12</v>
      </c>
      <c r="D46" s="11">
        <v>0</v>
      </c>
    </row>
    <row r="47" spans="2:13" ht="15.75" x14ac:dyDescent="0.25">
      <c r="B47" s="104" t="s">
        <v>23</v>
      </c>
      <c r="C47" s="104"/>
      <c r="D47" s="7">
        <f>SUM(D42:D46)</f>
        <v>1321</v>
      </c>
    </row>
    <row r="55" spans="2:7" ht="15.75" customHeight="1" x14ac:dyDescent="0.25">
      <c r="B55" s="20" t="s">
        <v>28</v>
      </c>
      <c r="G55" s="22" t="s">
        <v>41</v>
      </c>
    </row>
    <row r="56" spans="2:7" ht="15.75" x14ac:dyDescent="0.25">
      <c r="B56" s="104" t="s">
        <v>13</v>
      </c>
      <c r="C56" s="104"/>
      <c r="D56" s="104"/>
    </row>
    <row r="57" spans="2:7" ht="31.5" x14ac:dyDescent="0.25">
      <c r="B57" s="17">
        <v>1</v>
      </c>
      <c r="C57" s="18" t="s">
        <v>14</v>
      </c>
      <c r="D57" s="19">
        <v>0</v>
      </c>
    </row>
    <row r="58" spans="2:7" ht="31.5" x14ac:dyDescent="0.25">
      <c r="B58" s="17">
        <v>2</v>
      </c>
      <c r="C58" s="18" t="s">
        <v>15</v>
      </c>
      <c r="D58" s="19">
        <v>1052</v>
      </c>
      <c r="G58" s="21" t="s">
        <v>29</v>
      </c>
    </row>
    <row r="59" spans="2:7" ht="31.5" x14ac:dyDescent="0.25">
      <c r="B59" s="17">
        <v>3</v>
      </c>
      <c r="C59" s="18" t="s">
        <v>16</v>
      </c>
      <c r="D59" s="19">
        <v>430</v>
      </c>
    </row>
    <row r="60" spans="2:7" ht="31.5" x14ac:dyDescent="0.25">
      <c r="B60" s="17">
        <v>4</v>
      </c>
      <c r="C60" s="18" t="s">
        <v>17</v>
      </c>
      <c r="D60" s="19">
        <v>1</v>
      </c>
    </row>
    <row r="61" spans="2:7" ht="31.5" x14ac:dyDescent="0.25">
      <c r="B61" s="17">
        <v>5</v>
      </c>
      <c r="C61" s="18" t="s">
        <v>18</v>
      </c>
      <c r="D61" s="19">
        <v>0</v>
      </c>
    </row>
    <row r="62" spans="2:7" ht="15.75" x14ac:dyDescent="0.25">
      <c r="B62" s="30"/>
      <c r="C62" s="31"/>
      <c r="D62" s="32"/>
    </row>
    <row r="63" spans="2:7" ht="15.75" x14ac:dyDescent="0.25">
      <c r="B63" s="30"/>
      <c r="C63" s="31"/>
      <c r="D63" s="32"/>
    </row>
    <row r="64" spans="2:7" x14ac:dyDescent="0.25">
      <c r="G64" s="22" t="s">
        <v>22</v>
      </c>
    </row>
    <row r="68" spans="7:13" x14ac:dyDescent="0.25">
      <c r="G68" s="114" t="s">
        <v>40</v>
      </c>
      <c r="H68" s="114"/>
      <c r="I68" s="114"/>
      <c r="J68" s="114"/>
      <c r="K68" s="114"/>
      <c r="L68" s="114"/>
      <c r="M68" s="114"/>
    </row>
    <row r="69" spans="7:13" ht="33" customHeight="1" x14ac:dyDescent="0.25">
      <c r="G69" s="114"/>
      <c r="H69" s="114"/>
      <c r="I69" s="114"/>
      <c r="J69" s="114"/>
      <c r="K69" s="114"/>
      <c r="L69" s="114"/>
      <c r="M69" s="114"/>
    </row>
  </sheetData>
  <mergeCells count="18">
    <mergeCell ref="G68:M69"/>
    <mergeCell ref="B56:D56"/>
    <mergeCell ref="B7:D7"/>
    <mergeCell ref="B15:C15"/>
    <mergeCell ref="B31:C31"/>
    <mergeCell ref="B47:C47"/>
    <mergeCell ref="B41:D41"/>
    <mergeCell ref="G35:M36"/>
    <mergeCell ref="B26:D26"/>
    <mergeCell ref="B1:N1"/>
    <mergeCell ref="B2:N2"/>
    <mergeCell ref="B4:N4"/>
    <mergeCell ref="B22:C22"/>
    <mergeCell ref="B21:C21"/>
    <mergeCell ref="B18:C18"/>
    <mergeCell ref="B17:C17"/>
    <mergeCell ref="B19:C19"/>
    <mergeCell ref="B20:C20"/>
  </mergeCells>
  <pageMargins left="0.7" right="0.7" top="0.75" bottom="0.75" header="0.3" footer="0.3"/>
  <pageSetup scale="68" fitToHeight="0" orientation="landscape" horizontalDpi="4294967292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9"/>
  <sheetViews>
    <sheetView topLeftCell="A11" workbookViewId="0"/>
  </sheetViews>
  <sheetFormatPr baseColWidth="10" defaultRowHeight="15" x14ac:dyDescent="0.25"/>
  <cols>
    <col min="1" max="2" width="11.42578125" style="2"/>
    <col min="3" max="3" width="17.140625" style="2" customWidth="1"/>
    <col min="4" max="4" width="14.85546875" style="2" bestFit="1" customWidth="1"/>
    <col min="5" max="16384" width="11.42578125" style="2"/>
  </cols>
  <sheetData>
    <row r="1" spans="1:16" ht="133.5" customHeight="1" x14ac:dyDescent="0.25">
      <c r="A1" s="28"/>
      <c r="B1" s="105" t="s">
        <v>48</v>
      </c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29"/>
      <c r="P1" s="1"/>
    </row>
    <row r="2" spans="1:16" ht="23.25" x14ac:dyDescent="0.35">
      <c r="A2" s="28"/>
      <c r="B2" s="106" t="s">
        <v>0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28"/>
    </row>
    <row r="4" spans="1:16" ht="23.25" x14ac:dyDescent="0.35">
      <c r="B4" s="108" t="s">
        <v>47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</row>
    <row r="5" spans="1:16" ht="23.25" x14ac:dyDescent="0.35">
      <c r="B5" s="37"/>
      <c r="C5" s="37"/>
      <c r="D5" s="37"/>
      <c r="E5" s="37"/>
      <c r="F5" s="37"/>
      <c r="G5" s="21" t="s">
        <v>21</v>
      </c>
      <c r="H5" s="37"/>
      <c r="I5" s="37"/>
      <c r="J5" s="37"/>
      <c r="K5" s="37"/>
      <c r="L5" s="37"/>
      <c r="M5" s="37"/>
      <c r="N5" s="37"/>
    </row>
    <row r="6" spans="1:16" ht="23.25" x14ac:dyDescent="0.35">
      <c r="B6" s="20" t="s">
        <v>20</v>
      </c>
      <c r="E6" s="37"/>
      <c r="F6" s="37"/>
      <c r="G6" s="37"/>
      <c r="H6" s="37"/>
      <c r="I6" s="37"/>
      <c r="J6" s="37"/>
      <c r="K6" s="37"/>
      <c r="L6" s="37"/>
      <c r="M6" s="37"/>
      <c r="N6" s="37"/>
    </row>
    <row r="7" spans="1:16" ht="23.25" x14ac:dyDescent="0.35">
      <c r="B7" s="111" t="s">
        <v>8</v>
      </c>
      <c r="C7" s="111"/>
      <c r="D7" s="111"/>
      <c r="E7" s="37"/>
      <c r="F7" s="37"/>
      <c r="G7" s="37"/>
      <c r="H7" s="37"/>
      <c r="I7" s="37"/>
      <c r="J7" s="37"/>
      <c r="K7" s="37"/>
      <c r="L7" s="37"/>
      <c r="M7" s="37"/>
      <c r="N7" s="37"/>
    </row>
    <row r="8" spans="1:16" ht="23.25" x14ac:dyDescent="0.35">
      <c r="B8" s="38">
        <v>1</v>
      </c>
      <c r="C8" s="4" t="s">
        <v>1</v>
      </c>
      <c r="D8" s="19">
        <v>386</v>
      </c>
      <c r="E8" s="37"/>
      <c r="F8" s="37"/>
      <c r="G8" s="37"/>
      <c r="H8" s="37"/>
      <c r="I8" s="37"/>
      <c r="J8" s="37"/>
      <c r="K8" s="37"/>
      <c r="L8" s="37"/>
      <c r="M8" s="37"/>
      <c r="N8" s="37"/>
    </row>
    <row r="9" spans="1:16" ht="15.75" x14ac:dyDescent="0.25">
      <c r="B9" s="38">
        <v>2</v>
      </c>
      <c r="C9" s="5" t="s">
        <v>30</v>
      </c>
      <c r="D9" s="19">
        <v>394</v>
      </c>
    </row>
    <row r="10" spans="1:16" ht="15.75" x14ac:dyDescent="0.25">
      <c r="B10" s="38">
        <v>3</v>
      </c>
      <c r="C10" s="5" t="s">
        <v>2</v>
      </c>
      <c r="D10" s="19">
        <v>184</v>
      </c>
    </row>
    <row r="11" spans="1:16" ht="31.5" x14ac:dyDescent="0.25">
      <c r="B11" s="38">
        <v>4</v>
      </c>
      <c r="C11" s="4" t="s">
        <v>3</v>
      </c>
      <c r="D11" s="19">
        <v>4</v>
      </c>
    </row>
    <row r="12" spans="1:16" ht="15.75" x14ac:dyDescent="0.25">
      <c r="B12" s="38">
        <v>5</v>
      </c>
      <c r="C12" s="4" t="s">
        <v>4</v>
      </c>
      <c r="D12" s="19">
        <v>4</v>
      </c>
    </row>
    <row r="13" spans="1:16" ht="15.75" x14ac:dyDescent="0.25">
      <c r="B13" s="38">
        <v>6</v>
      </c>
      <c r="C13" s="4" t="s">
        <v>37</v>
      </c>
      <c r="D13" s="6">
        <v>0</v>
      </c>
    </row>
    <row r="14" spans="1:16" ht="15.75" x14ac:dyDescent="0.25">
      <c r="B14" s="38">
        <v>7</v>
      </c>
      <c r="C14" s="4" t="s">
        <v>38</v>
      </c>
      <c r="D14" s="19">
        <v>0</v>
      </c>
    </row>
    <row r="15" spans="1:16" ht="15.75" x14ac:dyDescent="0.25">
      <c r="B15" s="104" t="s">
        <v>23</v>
      </c>
      <c r="C15" s="104"/>
      <c r="D15" s="26">
        <f>SUM(D8+D10+D11+D9+D13+D12)</f>
        <v>972</v>
      </c>
    </row>
    <row r="17" spans="2:7" ht="15.75" x14ac:dyDescent="0.25">
      <c r="B17" s="109" t="s">
        <v>34</v>
      </c>
      <c r="C17" s="110"/>
      <c r="D17" s="23">
        <v>972</v>
      </c>
      <c r="G17" s="22" t="s">
        <v>41</v>
      </c>
    </row>
    <row r="18" spans="2:7" ht="15.75" x14ac:dyDescent="0.25">
      <c r="B18" s="109" t="s">
        <v>35</v>
      </c>
      <c r="C18" s="110"/>
      <c r="D18" s="23">
        <v>4</v>
      </c>
    </row>
    <row r="19" spans="2:7" ht="15.75" x14ac:dyDescent="0.25">
      <c r="B19" s="109" t="s">
        <v>39</v>
      </c>
      <c r="C19" s="110"/>
      <c r="D19" s="23">
        <v>4</v>
      </c>
    </row>
    <row r="20" spans="2:7" ht="15.75" x14ac:dyDescent="0.25">
      <c r="B20" s="109" t="s">
        <v>37</v>
      </c>
      <c r="C20" s="110"/>
      <c r="D20" s="23">
        <v>0</v>
      </c>
    </row>
    <row r="21" spans="2:7" ht="15.75" x14ac:dyDescent="0.25">
      <c r="B21" s="109" t="s">
        <v>38</v>
      </c>
      <c r="C21" s="110"/>
      <c r="D21" s="23">
        <v>0</v>
      </c>
      <c r="G21" s="21" t="s">
        <v>25</v>
      </c>
    </row>
    <row r="22" spans="2:7" ht="15.75" x14ac:dyDescent="0.25">
      <c r="B22" s="109" t="s">
        <v>36</v>
      </c>
      <c r="C22" s="110"/>
      <c r="D22" s="27">
        <f>(D17)-D18</f>
        <v>968</v>
      </c>
    </row>
    <row r="25" spans="2:7" ht="15.75" x14ac:dyDescent="0.25">
      <c r="B25" s="20" t="s">
        <v>24</v>
      </c>
    </row>
    <row r="26" spans="2:7" ht="15.75" x14ac:dyDescent="0.25">
      <c r="B26" s="104" t="s">
        <v>9</v>
      </c>
      <c r="C26" s="104"/>
      <c r="D26" s="104"/>
    </row>
    <row r="27" spans="2:7" ht="15.75" x14ac:dyDescent="0.25">
      <c r="B27" s="36">
        <v>1</v>
      </c>
      <c r="C27" s="10" t="s">
        <v>5</v>
      </c>
      <c r="D27" s="11">
        <v>24</v>
      </c>
    </row>
    <row r="28" spans="2:7" ht="31.5" x14ac:dyDescent="0.25">
      <c r="B28" s="38">
        <v>2</v>
      </c>
      <c r="C28" s="12" t="s">
        <v>31</v>
      </c>
      <c r="D28" s="11">
        <v>738</v>
      </c>
    </row>
    <row r="29" spans="2:7" ht="15.75" x14ac:dyDescent="0.25">
      <c r="B29" s="36">
        <v>3</v>
      </c>
      <c r="C29" s="13" t="s">
        <v>6</v>
      </c>
      <c r="D29" s="14">
        <v>0</v>
      </c>
    </row>
    <row r="30" spans="2:7" ht="15.75" x14ac:dyDescent="0.25">
      <c r="B30" s="36">
        <v>4</v>
      </c>
      <c r="C30" s="10" t="s">
        <v>7</v>
      </c>
      <c r="D30" s="14">
        <v>18</v>
      </c>
    </row>
    <row r="31" spans="2:7" ht="15.75" x14ac:dyDescent="0.25">
      <c r="B31" s="112" t="s">
        <v>23</v>
      </c>
      <c r="C31" s="113"/>
      <c r="D31" s="38">
        <f>SUM(D27:D30)</f>
        <v>780</v>
      </c>
    </row>
    <row r="35" spans="2:13" x14ac:dyDescent="0.25">
      <c r="G35" s="114" t="s">
        <v>42</v>
      </c>
      <c r="H35" s="114"/>
      <c r="I35" s="114"/>
      <c r="J35" s="114"/>
      <c r="K35" s="114"/>
      <c r="L35" s="114"/>
      <c r="M35" s="114"/>
    </row>
    <row r="36" spans="2:13" x14ac:dyDescent="0.25">
      <c r="G36" s="114"/>
      <c r="H36" s="114"/>
      <c r="I36" s="114"/>
      <c r="J36" s="114"/>
      <c r="K36" s="114"/>
      <c r="L36" s="114"/>
      <c r="M36" s="114"/>
    </row>
    <row r="40" spans="2:13" ht="15.75" x14ac:dyDescent="0.25">
      <c r="B40" s="20" t="s">
        <v>26</v>
      </c>
      <c r="C40" s="15"/>
      <c r="D40" s="16"/>
      <c r="G40" s="21" t="s">
        <v>27</v>
      </c>
    </row>
    <row r="41" spans="2:13" ht="15.75" x14ac:dyDescent="0.25">
      <c r="B41" s="111" t="s">
        <v>19</v>
      </c>
      <c r="C41" s="111"/>
      <c r="D41" s="111"/>
    </row>
    <row r="42" spans="2:13" ht="15.75" x14ac:dyDescent="0.25">
      <c r="B42" s="36">
        <v>1</v>
      </c>
      <c r="C42" s="10" t="s">
        <v>10</v>
      </c>
      <c r="D42" s="11">
        <v>50</v>
      </c>
    </row>
    <row r="43" spans="2:13" ht="15.75" x14ac:dyDescent="0.25">
      <c r="B43" s="36">
        <v>2</v>
      </c>
      <c r="C43" s="10" t="s">
        <v>11</v>
      </c>
      <c r="D43" s="11">
        <v>894</v>
      </c>
    </row>
    <row r="44" spans="2:13" ht="15.75" x14ac:dyDescent="0.25">
      <c r="B44" s="36">
        <v>3</v>
      </c>
      <c r="C44" s="10" t="s">
        <v>33</v>
      </c>
      <c r="D44" s="11">
        <v>0</v>
      </c>
    </row>
    <row r="45" spans="2:13" ht="15.75" x14ac:dyDescent="0.25">
      <c r="B45" s="36">
        <v>4</v>
      </c>
      <c r="C45" s="10" t="s">
        <v>32</v>
      </c>
      <c r="D45" s="11">
        <v>28</v>
      </c>
    </row>
    <row r="46" spans="2:13" ht="15.75" x14ac:dyDescent="0.25">
      <c r="B46" s="36">
        <v>5</v>
      </c>
      <c r="C46" s="10" t="s">
        <v>12</v>
      </c>
      <c r="D46" s="11">
        <v>0</v>
      </c>
    </row>
    <row r="47" spans="2:13" ht="15.75" x14ac:dyDescent="0.25">
      <c r="B47" s="104" t="s">
        <v>23</v>
      </c>
      <c r="C47" s="104"/>
      <c r="D47" s="7">
        <f>SUM(D42:D46)</f>
        <v>972</v>
      </c>
    </row>
    <row r="55" spans="2:7" ht="15.75" customHeight="1" x14ac:dyDescent="0.25">
      <c r="B55" s="20" t="s">
        <v>28</v>
      </c>
      <c r="G55" s="22" t="s">
        <v>41</v>
      </c>
    </row>
    <row r="56" spans="2:7" ht="15.75" x14ac:dyDescent="0.25">
      <c r="B56" s="104" t="s">
        <v>13</v>
      </c>
      <c r="C56" s="104"/>
      <c r="D56" s="104"/>
    </row>
    <row r="57" spans="2:7" ht="31.5" x14ac:dyDescent="0.25">
      <c r="B57" s="17">
        <v>1</v>
      </c>
      <c r="C57" s="18" t="s">
        <v>14</v>
      </c>
      <c r="D57" s="19">
        <v>1</v>
      </c>
    </row>
    <row r="58" spans="2:7" ht="31.5" x14ac:dyDescent="0.25">
      <c r="B58" s="17">
        <v>2</v>
      </c>
      <c r="C58" s="18" t="s">
        <v>15</v>
      </c>
      <c r="D58" s="19">
        <v>779</v>
      </c>
      <c r="G58" s="21" t="s">
        <v>29</v>
      </c>
    </row>
    <row r="59" spans="2:7" ht="31.5" x14ac:dyDescent="0.25">
      <c r="B59" s="17">
        <v>3</v>
      </c>
      <c r="C59" s="18" t="s">
        <v>16</v>
      </c>
      <c r="D59" s="19">
        <v>399</v>
      </c>
    </row>
    <row r="60" spans="2:7" ht="31.5" x14ac:dyDescent="0.25">
      <c r="B60" s="17">
        <v>4</v>
      </c>
      <c r="C60" s="18" t="s">
        <v>17</v>
      </c>
      <c r="D60" s="19">
        <v>0</v>
      </c>
    </row>
    <row r="61" spans="2:7" ht="31.5" x14ac:dyDescent="0.25">
      <c r="B61" s="17">
        <v>5</v>
      </c>
      <c r="C61" s="18" t="s">
        <v>18</v>
      </c>
      <c r="D61" s="19">
        <v>0</v>
      </c>
    </row>
    <row r="62" spans="2:7" ht="15.75" x14ac:dyDescent="0.25">
      <c r="B62" s="30"/>
      <c r="C62" s="31"/>
      <c r="D62" s="32"/>
    </row>
    <row r="63" spans="2:7" ht="15.75" x14ac:dyDescent="0.25">
      <c r="B63" s="30"/>
      <c r="C63" s="31"/>
      <c r="D63" s="32"/>
    </row>
    <row r="64" spans="2:7" x14ac:dyDescent="0.25">
      <c r="G64" s="22" t="s">
        <v>22</v>
      </c>
    </row>
    <row r="68" spans="7:13" x14ac:dyDescent="0.25">
      <c r="G68" s="114" t="s">
        <v>40</v>
      </c>
      <c r="H68" s="114"/>
      <c r="I68" s="114"/>
      <c r="J68" s="114"/>
      <c r="K68" s="114"/>
      <c r="L68" s="114"/>
      <c r="M68" s="114"/>
    </row>
    <row r="69" spans="7:13" ht="33" customHeight="1" x14ac:dyDescent="0.25">
      <c r="G69" s="114"/>
      <c r="H69" s="114"/>
      <c r="I69" s="114"/>
      <c r="J69" s="114"/>
      <c r="K69" s="114"/>
      <c r="L69" s="114"/>
      <c r="M69" s="114"/>
    </row>
  </sheetData>
  <mergeCells count="18">
    <mergeCell ref="B31:C31"/>
    <mergeCell ref="B47:C47"/>
    <mergeCell ref="B41:D41"/>
    <mergeCell ref="G35:M36"/>
    <mergeCell ref="G68:M69"/>
    <mergeCell ref="B56:D56"/>
    <mergeCell ref="B7:D7"/>
    <mergeCell ref="B15:C15"/>
    <mergeCell ref="B26:D26"/>
    <mergeCell ref="B1:N1"/>
    <mergeCell ref="B2:N2"/>
    <mergeCell ref="B4:N4"/>
    <mergeCell ref="B22:C22"/>
    <mergeCell ref="B21:C21"/>
    <mergeCell ref="B18:C18"/>
    <mergeCell ref="B17:C17"/>
    <mergeCell ref="B19:C19"/>
    <mergeCell ref="B20:C20"/>
  </mergeCells>
  <pageMargins left="0.7" right="0.7" top="0.75" bottom="0.75" header="0.3" footer="0.3"/>
  <pageSetup scale="68" fitToHeight="0" orientation="landscape" horizontalDpi="4294967292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9"/>
  <sheetViews>
    <sheetView workbookViewId="0">
      <selection activeCell="B4" sqref="B4:N4"/>
    </sheetView>
  </sheetViews>
  <sheetFormatPr baseColWidth="10" defaultRowHeight="15" x14ac:dyDescent="0.25"/>
  <cols>
    <col min="1" max="2" width="11.42578125" style="2"/>
    <col min="3" max="3" width="17.140625" style="2" customWidth="1"/>
    <col min="4" max="4" width="14.85546875" style="2" bestFit="1" customWidth="1"/>
    <col min="5" max="16384" width="11.42578125" style="2"/>
  </cols>
  <sheetData>
    <row r="1" spans="1:16" ht="133.5" customHeight="1" x14ac:dyDescent="0.25">
      <c r="A1" s="28"/>
      <c r="B1" s="105" t="s">
        <v>50</v>
      </c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29"/>
      <c r="P1" s="1"/>
    </row>
    <row r="2" spans="1:16" ht="23.25" x14ac:dyDescent="0.35">
      <c r="A2" s="28"/>
      <c r="B2" s="106" t="s">
        <v>0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28"/>
    </row>
    <row r="4" spans="1:16" ht="23.25" x14ac:dyDescent="0.35">
      <c r="B4" s="108" t="s">
        <v>49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</row>
    <row r="5" spans="1:16" ht="23.25" x14ac:dyDescent="0.35">
      <c r="B5" s="41"/>
      <c r="C5" s="41"/>
      <c r="D5" s="41"/>
      <c r="E5" s="41"/>
      <c r="F5" s="41"/>
      <c r="G5" s="21" t="s">
        <v>21</v>
      </c>
      <c r="H5" s="41"/>
      <c r="I5" s="41"/>
      <c r="J5" s="41"/>
      <c r="K5" s="41"/>
      <c r="L5" s="41"/>
      <c r="M5" s="41"/>
      <c r="N5" s="41"/>
    </row>
    <row r="6" spans="1:16" ht="23.25" x14ac:dyDescent="0.35">
      <c r="B6" s="20" t="s">
        <v>20</v>
      </c>
      <c r="E6" s="41"/>
      <c r="F6" s="41"/>
      <c r="G6" s="41"/>
      <c r="H6" s="41"/>
      <c r="I6" s="41"/>
      <c r="J6" s="41"/>
      <c r="K6" s="41"/>
      <c r="L6" s="41"/>
      <c r="M6" s="41"/>
      <c r="N6" s="41"/>
    </row>
    <row r="7" spans="1:16" ht="23.25" x14ac:dyDescent="0.35">
      <c r="B7" s="111" t="s">
        <v>8</v>
      </c>
      <c r="C7" s="111"/>
      <c r="D7" s="111"/>
      <c r="E7" s="41"/>
      <c r="F7" s="41"/>
      <c r="G7" s="41"/>
      <c r="H7" s="41"/>
      <c r="I7" s="41"/>
      <c r="J7" s="41"/>
      <c r="K7" s="41"/>
      <c r="L7" s="41"/>
      <c r="M7" s="41"/>
      <c r="N7" s="41"/>
    </row>
    <row r="8" spans="1:16" ht="23.25" x14ac:dyDescent="0.35">
      <c r="B8" s="40">
        <v>1</v>
      </c>
      <c r="C8" s="4" t="s">
        <v>1</v>
      </c>
      <c r="D8" s="19">
        <v>505</v>
      </c>
      <c r="E8" s="41"/>
      <c r="F8" s="41"/>
      <c r="G8" s="41"/>
      <c r="H8" s="41"/>
      <c r="I8" s="41"/>
      <c r="J8" s="41"/>
      <c r="K8" s="41"/>
      <c r="L8" s="41"/>
      <c r="M8" s="41"/>
      <c r="N8" s="41"/>
    </row>
    <row r="9" spans="1:16" ht="15.75" x14ac:dyDescent="0.25">
      <c r="B9" s="40">
        <v>2</v>
      </c>
      <c r="C9" s="5" t="s">
        <v>30</v>
      </c>
      <c r="D9" s="19">
        <v>454</v>
      </c>
    </row>
    <row r="10" spans="1:16" ht="15.75" x14ac:dyDescent="0.25">
      <c r="B10" s="40">
        <v>3</v>
      </c>
      <c r="C10" s="5" t="s">
        <v>2</v>
      </c>
      <c r="D10" s="19">
        <v>231</v>
      </c>
    </row>
    <row r="11" spans="1:16" ht="31.5" x14ac:dyDescent="0.25">
      <c r="B11" s="40">
        <v>4</v>
      </c>
      <c r="C11" s="4" t="s">
        <v>3</v>
      </c>
      <c r="D11" s="19">
        <v>14</v>
      </c>
    </row>
    <row r="12" spans="1:16" ht="15.75" x14ac:dyDescent="0.25">
      <c r="B12" s="40">
        <v>5</v>
      </c>
      <c r="C12" s="4" t="s">
        <v>4</v>
      </c>
      <c r="D12" s="19">
        <v>4</v>
      </c>
    </row>
    <row r="13" spans="1:16" ht="15.75" x14ac:dyDescent="0.25">
      <c r="B13" s="40">
        <v>6</v>
      </c>
      <c r="C13" s="4" t="s">
        <v>37</v>
      </c>
      <c r="D13" s="6">
        <v>0</v>
      </c>
    </row>
    <row r="14" spans="1:16" ht="15.75" x14ac:dyDescent="0.25">
      <c r="B14" s="40">
        <v>7</v>
      </c>
      <c r="C14" s="4" t="s">
        <v>38</v>
      </c>
      <c r="D14" s="19">
        <v>0</v>
      </c>
    </row>
    <row r="15" spans="1:16" ht="15.75" x14ac:dyDescent="0.25">
      <c r="B15" s="104" t="s">
        <v>23</v>
      </c>
      <c r="C15" s="104"/>
      <c r="D15" s="26">
        <f>SUM(D8+D10+D11+D9+D13+D12)</f>
        <v>1208</v>
      </c>
    </row>
    <row r="17" spans="2:7" ht="15.75" x14ac:dyDescent="0.25">
      <c r="B17" s="109" t="s">
        <v>34</v>
      </c>
      <c r="C17" s="110"/>
      <c r="D17" s="23">
        <v>1208</v>
      </c>
      <c r="G17" s="22" t="s">
        <v>41</v>
      </c>
    </row>
    <row r="18" spans="2:7" ht="15.75" x14ac:dyDescent="0.25">
      <c r="B18" s="109" t="s">
        <v>35</v>
      </c>
      <c r="C18" s="110"/>
      <c r="D18" s="23">
        <v>14</v>
      </c>
    </row>
    <row r="19" spans="2:7" ht="15.75" x14ac:dyDescent="0.25">
      <c r="B19" s="109" t="s">
        <v>39</v>
      </c>
      <c r="C19" s="110"/>
      <c r="D19" s="23">
        <v>4</v>
      </c>
    </row>
    <row r="20" spans="2:7" ht="15.75" x14ac:dyDescent="0.25">
      <c r="B20" s="109" t="s">
        <v>37</v>
      </c>
      <c r="C20" s="110"/>
      <c r="D20" s="23">
        <v>0</v>
      </c>
    </row>
    <row r="21" spans="2:7" ht="15.75" x14ac:dyDescent="0.25">
      <c r="B21" s="109" t="s">
        <v>38</v>
      </c>
      <c r="C21" s="110"/>
      <c r="D21" s="23">
        <v>0</v>
      </c>
      <c r="G21" s="21" t="s">
        <v>25</v>
      </c>
    </row>
    <row r="22" spans="2:7" ht="15.75" x14ac:dyDescent="0.25">
      <c r="B22" s="109" t="s">
        <v>36</v>
      </c>
      <c r="C22" s="110"/>
      <c r="D22" s="27">
        <f>(D17)-D18</f>
        <v>1194</v>
      </c>
    </row>
    <row r="25" spans="2:7" ht="15.75" x14ac:dyDescent="0.25">
      <c r="B25" s="20" t="s">
        <v>24</v>
      </c>
    </row>
    <row r="26" spans="2:7" ht="15.75" x14ac:dyDescent="0.25">
      <c r="B26" s="104" t="s">
        <v>9</v>
      </c>
      <c r="C26" s="104"/>
      <c r="D26" s="104"/>
    </row>
    <row r="27" spans="2:7" ht="15.75" x14ac:dyDescent="0.25">
      <c r="B27" s="39">
        <v>1</v>
      </c>
      <c r="C27" s="10" t="s">
        <v>5</v>
      </c>
      <c r="D27" s="11">
        <v>28</v>
      </c>
    </row>
    <row r="28" spans="2:7" ht="31.5" x14ac:dyDescent="0.25">
      <c r="B28" s="40">
        <v>2</v>
      </c>
      <c r="C28" s="12" t="s">
        <v>31</v>
      </c>
      <c r="D28" s="11">
        <v>900</v>
      </c>
    </row>
    <row r="29" spans="2:7" ht="15.75" x14ac:dyDescent="0.25">
      <c r="B29" s="39">
        <v>3</v>
      </c>
      <c r="C29" s="13" t="s">
        <v>6</v>
      </c>
      <c r="D29" s="14">
        <v>3</v>
      </c>
    </row>
    <row r="30" spans="2:7" ht="15.75" x14ac:dyDescent="0.25">
      <c r="B30" s="39">
        <v>4</v>
      </c>
      <c r="C30" s="10" t="s">
        <v>7</v>
      </c>
      <c r="D30" s="14">
        <v>28</v>
      </c>
    </row>
    <row r="31" spans="2:7" ht="15.75" x14ac:dyDescent="0.25">
      <c r="B31" s="112" t="s">
        <v>23</v>
      </c>
      <c r="C31" s="113"/>
      <c r="D31" s="40">
        <f>SUM(D27:D30)</f>
        <v>959</v>
      </c>
    </row>
    <row r="35" spans="2:13" x14ac:dyDescent="0.25">
      <c r="G35" s="114" t="s">
        <v>42</v>
      </c>
      <c r="H35" s="114"/>
      <c r="I35" s="114"/>
      <c r="J35" s="114"/>
      <c r="K35" s="114"/>
      <c r="L35" s="114"/>
      <c r="M35" s="114"/>
    </row>
    <row r="36" spans="2:13" x14ac:dyDescent="0.25">
      <c r="G36" s="114"/>
      <c r="H36" s="114"/>
      <c r="I36" s="114"/>
      <c r="J36" s="114"/>
      <c r="K36" s="114"/>
      <c r="L36" s="114"/>
      <c r="M36" s="114"/>
    </row>
    <row r="40" spans="2:13" ht="15.75" x14ac:dyDescent="0.25">
      <c r="B40" s="20" t="s">
        <v>26</v>
      </c>
      <c r="C40" s="15"/>
      <c r="D40" s="16"/>
      <c r="G40" s="21" t="s">
        <v>27</v>
      </c>
    </row>
    <row r="41" spans="2:13" ht="15.75" x14ac:dyDescent="0.25">
      <c r="B41" s="111" t="s">
        <v>19</v>
      </c>
      <c r="C41" s="111"/>
      <c r="D41" s="111"/>
    </row>
    <row r="42" spans="2:13" ht="15.75" x14ac:dyDescent="0.25">
      <c r="B42" s="39">
        <v>1</v>
      </c>
      <c r="C42" s="10" t="s">
        <v>10</v>
      </c>
      <c r="D42" s="11">
        <v>35</v>
      </c>
    </row>
    <row r="43" spans="2:13" ht="15.75" x14ac:dyDescent="0.25">
      <c r="B43" s="39">
        <v>2</v>
      </c>
      <c r="C43" s="10" t="s">
        <v>11</v>
      </c>
      <c r="D43" s="11">
        <v>1100</v>
      </c>
    </row>
    <row r="44" spans="2:13" ht="15.75" x14ac:dyDescent="0.25">
      <c r="B44" s="39">
        <v>3</v>
      </c>
      <c r="C44" s="10" t="s">
        <v>33</v>
      </c>
      <c r="D44" s="11">
        <v>0</v>
      </c>
    </row>
    <row r="45" spans="2:13" ht="15.75" x14ac:dyDescent="0.25">
      <c r="B45" s="39">
        <v>4</v>
      </c>
      <c r="C45" s="10" t="s">
        <v>32</v>
      </c>
      <c r="D45" s="11">
        <v>73</v>
      </c>
    </row>
    <row r="46" spans="2:13" ht="15.75" x14ac:dyDescent="0.25">
      <c r="B46" s="39">
        <v>5</v>
      </c>
      <c r="C46" s="10" t="s">
        <v>12</v>
      </c>
      <c r="D46" s="11">
        <v>0</v>
      </c>
    </row>
    <row r="47" spans="2:13" ht="15.75" x14ac:dyDescent="0.25">
      <c r="B47" s="104" t="s">
        <v>23</v>
      </c>
      <c r="C47" s="104"/>
      <c r="D47" s="7">
        <f>SUM(D42:D46)</f>
        <v>1208</v>
      </c>
    </row>
    <row r="55" spans="2:7" ht="15.75" customHeight="1" x14ac:dyDescent="0.25">
      <c r="B55" s="20" t="s">
        <v>28</v>
      </c>
      <c r="G55" s="22" t="s">
        <v>41</v>
      </c>
    </row>
    <row r="56" spans="2:7" ht="15.75" x14ac:dyDescent="0.25">
      <c r="B56" s="104" t="s">
        <v>13</v>
      </c>
      <c r="C56" s="104"/>
      <c r="D56" s="104"/>
    </row>
    <row r="57" spans="2:7" ht="31.5" x14ac:dyDescent="0.25">
      <c r="B57" s="17">
        <v>1</v>
      </c>
      <c r="C57" s="18" t="s">
        <v>14</v>
      </c>
      <c r="D57" s="19">
        <v>1</v>
      </c>
    </row>
    <row r="58" spans="2:7" ht="31.5" x14ac:dyDescent="0.25">
      <c r="B58" s="17">
        <v>2</v>
      </c>
      <c r="C58" s="18" t="s">
        <v>15</v>
      </c>
      <c r="D58" s="19">
        <v>958</v>
      </c>
      <c r="G58" s="21" t="s">
        <v>29</v>
      </c>
    </row>
    <row r="59" spans="2:7" ht="31.5" x14ac:dyDescent="0.25">
      <c r="B59" s="17">
        <v>3</v>
      </c>
      <c r="C59" s="18" t="s">
        <v>16</v>
      </c>
      <c r="D59" s="19">
        <v>416</v>
      </c>
    </row>
    <row r="60" spans="2:7" ht="31.5" x14ac:dyDescent="0.25">
      <c r="B60" s="17">
        <v>4</v>
      </c>
      <c r="C60" s="18" t="s">
        <v>17</v>
      </c>
      <c r="D60" s="19">
        <v>0</v>
      </c>
    </row>
    <row r="61" spans="2:7" ht="31.5" x14ac:dyDescent="0.25">
      <c r="B61" s="17">
        <v>5</v>
      </c>
      <c r="C61" s="18" t="s">
        <v>18</v>
      </c>
      <c r="D61" s="19">
        <v>0</v>
      </c>
    </row>
    <row r="62" spans="2:7" ht="15.75" x14ac:dyDescent="0.25">
      <c r="B62" s="30"/>
      <c r="C62" s="31"/>
      <c r="D62" s="32"/>
    </row>
    <row r="63" spans="2:7" ht="15.75" x14ac:dyDescent="0.25">
      <c r="B63" s="30"/>
      <c r="C63" s="31"/>
      <c r="D63" s="32"/>
    </row>
    <row r="64" spans="2:7" x14ac:dyDescent="0.25">
      <c r="G64" s="22" t="s">
        <v>22</v>
      </c>
    </row>
    <row r="68" spans="7:13" x14ac:dyDescent="0.25">
      <c r="G68" s="114" t="s">
        <v>40</v>
      </c>
      <c r="H68" s="114"/>
      <c r="I68" s="114"/>
      <c r="J68" s="114"/>
      <c r="K68" s="114"/>
      <c r="L68" s="114"/>
      <c r="M68" s="114"/>
    </row>
    <row r="69" spans="7:13" ht="33" customHeight="1" x14ac:dyDescent="0.25">
      <c r="G69" s="114"/>
      <c r="H69" s="114"/>
      <c r="I69" s="114"/>
      <c r="J69" s="114"/>
      <c r="K69" s="114"/>
      <c r="L69" s="114"/>
      <c r="M69" s="114"/>
    </row>
  </sheetData>
  <mergeCells count="18">
    <mergeCell ref="G68:M69"/>
    <mergeCell ref="B56:D56"/>
    <mergeCell ref="B7:D7"/>
    <mergeCell ref="B15:C15"/>
    <mergeCell ref="B31:C31"/>
    <mergeCell ref="B47:C47"/>
    <mergeCell ref="B41:D41"/>
    <mergeCell ref="G35:M36"/>
    <mergeCell ref="B26:D26"/>
    <mergeCell ref="B1:N1"/>
    <mergeCell ref="B2:N2"/>
    <mergeCell ref="B4:N4"/>
    <mergeCell ref="B22:C22"/>
    <mergeCell ref="B21:C21"/>
    <mergeCell ref="B18:C18"/>
    <mergeCell ref="B17:C17"/>
    <mergeCell ref="B19:C19"/>
    <mergeCell ref="B20:C20"/>
  </mergeCells>
  <pageMargins left="0.7" right="0.7" top="0.75" bottom="0.75" header="0.3" footer="0.3"/>
  <pageSetup scale="68" fitToHeight="0" orientation="landscape" horizontalDpi="4294967292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9"/>
  <sheetViews>
    <sheetView workbookViewId="0">
      <selection activeCell="E12" sqref="E12"/>
    </sheetView>
  </sheetViews>
  <sheetFormatPr baseColWidth="10" defaultRowHeight="15" x14ac:dyDescent="0.25"/>
  <cols>
    <col min="1" max="2" width="11.42578125" style="2"/>
    <col min="3" max="3" width="17.140625" style="2" customWidth="1"/>
    <col min="4" max="4" width="14.85546875" style="2" bestFit="1" customWidth="1"/>
    <col min="5" max="16384" width="11.42578125" style="2"/>
  </cols>
  <sheetData>
    <row r="1" spans="1:16" ht="133.5" customHeight="1" x14ac:dyDescent="0.25">
      <c r="A1" s="28"/>
      <c r="B1" s="105" t="s">
        <v>52</v>
      </c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29"/>
      <c r="P1" s="1"/>
    </row>
    <row r="2" spans="1:16" ht="23.25" x14ac:dyDescent="0.35">
      <c r="A2" s="28"/>
      <c r="B2" s="106" t="s">
        <v>0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28"/>
    </row>
    <row r="4" spans="1:16" ht="23.25" x14ac:dyDescent="0.35">
      <c r="B4" s="108" t="s">
        <v>51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</row>
    <row r="5" spans="1:16" ht="23.25" x14ac:dyDescent="0.35">
      <c r="B5" s="43"/>
      <c r="C5" s="43"/>
      <c r="D5" s="43"/>
      <c r="E5" s="43"/>
      <c r="F5" s="43"/>
      <c r="G5" s="21" t="s">
        <v>21</v>
      </c>
      <c r="H5" s="43"/>
      <c r="I5" s="43"/>
      <c r="J5" s="43"/>
      <c r="K5" s="43"/>
      <c r="L5" s="43"/>
      <c r="M5" s="43"/>
      <c r="N5" s="43"/>
    </row>
    <row r="6" spans="1:16" ht="23.25" x14ac:dyDescent="0.35">
      <c r="B6" s="20" t="s">
        <v>20</v>
      </c>
      <c r="E6" s="43"/>
      <c r="F6" s="43"/>
      <c r="G6" s="43"/>
      <c r="H6" s="43"/>
      <c r="I6" s="43"/>
      <c r="J6" s="43"/>
      <c r="K6" s="43"/>
      <c r="L6" s="43"/>
      <c r="M6" s="43"/>
      <c r="N6" s="43"/>
    </row>
    <row r="7" spans="1:16" ht="23.25" x14ac:dyDescent="0.35">
      <c r="B7" s="111" t="s">
        <v>8</v>
      </c>
      <c r="C7" s="111"/>
      <c r="D7" s="111"/>
      <c r="E7" s="43"/>
      <c r="F7" s="43"/>
      <c r="G7" s="43"/>
      <c r="H7" s="43"/>
      <c r="I7" s="43"/>
      <c r="J7" s="43"/>
      <c r="K7" s="43"/>
      <c r="L7" s="43"/>
      <c r="M7" s="43"/>
      <c r="N7" s="43"/>
    </row>
    <row r="8" spans="1:16" ht="23.25" x14ac:dyDescent="0.35">
      <c r="B8" s="44">
        <v>1</v>
      </c>
      <c r="C8" s="4" t="s">
        <v>1</v>
      </c>
      <c r="D8" s="19">
        <v>360</v>
      </c>
      <c r="E8" s="43"/>
      <c r="F8" s="43"/>
      <c r="G8" s="43"/>
      <c r="H8" s="43"/>
      <c r="I8" s="43"/>
      <c r="J8" s="43"/>
      <c r="K8" s="43"/>
      <c r="L8" s="43"/>
      <c r="M8" s="43"/>
      <c r="N8" s="43"/>
    </row>
    <row r="9" spans="1:16" ht="15.75" x14ac:dyDescent="0.25">
      <c r="B9" s="44">
        <v>2</v>
      </c>
      <c r="C9" s="5" t="s">
        <v>30</v>
      </c>
      <c r="D9" s="19">
        <v>413</v>
      </c>
    </row>
    <row r="10" spans="1:16" ht="15.75" x14ac:dyDescent="0.25">
      <c r="B10" s="44">
        <v>3</v>
      </c>
      <c r="C10" s="5" t="s">
        <v>2</v>
      </c>
      <c r="D10" s="19">
        <v>205</v>
      </c>
    </row>
    <row r="11" spans="1:16" ht="31.5" x14ac:dyDescent="0.25">
      <c r="B11" s="44">
        <v>4</v>
      </c>
      <c r="C11" s="4" t="s">
        <v>3</v>
      </c>
      <c r="D11" s="19">
        <v>17</v>
      </c>
    </row>
    <row r="12" spans="1:16" ht="15.75" x14ac:dyDescent="0.25">
      <c r="B12" s="44">
        <v>5</v>
      </c>
      <c r="C12" s="4" t="s">
        <v>4</v>
      </c>
      <c r="D12" s="19">
        <v>3</v>
      </c>
    </row>
    <row r="13" spans="1:16" ht="15.75" x14ac:dyDescent="0.25">
      <c r="B13" s="44">
        <v>6</v>
      </c>
      <c r="C13" s="4" t="s">
        <v>37</v>
      </c>
      <c r="D13" s="6">
        <v>0</v>
      </c>
    </row>
    <row r="14" spans="1:16" ht="15.75" x14ac:dyDescent="0.25">
      <c r="B14" s="44">
        <v>7</v>
      </c>
      <c r="C14" s="4" t="s">
        <v>38</v>
      </c>
      <c r="D14" s="19">
        <v>0</v>
      </c>
    </row>
    <row r="15" spans="1:16" ht="15.75" x14ac:dyDescent="0.25">
      <c r="B15" s="104" t="s">
        <v>23</v>
      </c>
      <c r="C15" s="104"/>
      <c r="D15" s="26">
        <f>SUM(D8+D10+D11+D9+D13+D12)</f>
        <v>998</v>
      </c>
    </row>
    <row r="17" spans="2:7" ht="15.75" x14ac:dyDescent="0.25">
      <c r="B17" s="109" t="s">
        <v>34</v>
      </c>
      <c r="C17" s="110"/>
      <c r="D17" s="23">
        <v>998</v>
      </c>
      <c r="G17" s="22" t="s">
        <v>41</v>
      </c>
    </row>
    <row r="18" spans="2:7" ht="15.75" x14ac:dyDescent="0.25">
      <c r="B18" s="109" t="s">
        <v>35</v>
      </c>
      <c r="C18" s="110"/>
      <c r="D18" s="23">
        <v>17</v>
      </c>
    </row>
    <row r="19" spans="2:7" ht="15.75" x14ac:dyDescent="0.25">
      <c r="B19" s="109" t="s">
        <v>39</v>
      </c>
      <c r="C19" s="110"/>
      <c r="D19" s="23">
        <v>3</v>
      </c>
    </row>
    <row r="20" spans="2:7" ht="15.75" x14ac:dyDescent="0.25">
      <c r="B20" s="109" t="s">
        <v>37</v>
      </c>
      <c r="C20" s="110"/>
      <c r="D20" s="23">
        <v>0</v>
      </c>
    </row>
    <row r="21" spans="2:7" ht="15.75" x14ac:dyDescent="0.25">
      <c r="B21" s="109" t="s">
        <v>38</v>
      </c>
      <c r="C21" s="110"/>
      <c r="D21" s="23">
        <v>0</v>
      </c>
      <c r="G21" s="21" t="s">
        <v>25</v>
      </c>
    </row>
    <row r="22" spans="2:7" ht="15.75" x14ac:dyDescent="0.25">
      <c r="B22" s="109" t="s">
        <v>36</v>
      </c>
      <c r="C22" s="110"/>
      <c r="D22" s="27">
        <f>(D17)-D18</f>
        <v>981</v>
      </c>
    </row>
    <row r="25" spans="2:7" ht="15.75" x14ac:dyDescent="0.25">
      <c r="B25" s="20" t="s">
        <v>24</v>
      </c>
    </row>
    <row r="26" spans="2:7" ht="15.75" x14ac:dyDescent="0.25">
      <c r="B26" s="104" t="s">
        <v>9</v>
      </c>
      <c r="C26" s="104"/>
      <c r="D26" s="104"/>
    </row>
    <row r="27" spans="2:7" ht="15.75" x14ac:dyDescent="0.25">
      <c r="B27" s="42">
        <v>1</v>
      </c>
      <c r="C27" s="10" t="s">
        <v>5</v>
      </c>
      <c r="D27" s="11">
        <v>14</v>
      </c>
    </row>
    <row r="28" spans="2:7" ht="31.5" x14ac:dyDescent="0.25">
      <c r="B28" s="44">
        <v>2</v>
      </c>
      <c r="C28" s="12" t="s">
        <v>31</v>
      </c>
      <c r="D28" s="11">
        <v>724</v>
      </c>
    </row>
    <row r="29" spans="2:7" ht="15.75" x14ac:dyDescent="0.25">
      <c r="B29" s="42">
        <v>3</v>
      </c>
      <c r="C29" s="13" t="s">
        <v>6</v>
      </c>
      <c r="D29" s="14">
        <v>0</v>
      </c>
    </row>
    <row r="30" spans="2:7" ht="15.75" x14ac:dyDescent="0.25">
      <c r="B30" s="42">
        <v>4</v>
      </c>
      <c r="C30" s="10" t="s">
        <v>7</v>
      </c>
      <c r="D30" s="14">
        <v>35</v>
      </c>
    </row>
    <row r="31" spans="2:7" ht="15.75" x14ac:dyDescent="0.25">
      <c r="B31" s="112" t="s">
        <v>23</v>
      </c>
      <c r="C31" s="113"/>
      <c r="D31" s="44">
        <f>SUM(D27:D30)</f>
        <v>773</v>
      </c>
    </row>
    <row r="35" spans="2:13" x14ac:dyDescent="0.25">
      <c r="G35" s="114" t="s">
        <v>42</v>
      </c>
      <c r="H35" s="114"/>
      <c r="I35" s="114"/>
      <c r="J35" s="114"/>
      <c r="K35" s="114"/>
      <c r="L35" s="114"/>
      <c r="M35" s="114"/>
    </row>
    <row r="36" spans="2:13" x14ac:dyDescent="0.25">
      <c r="G36" s="114"/>
      <c r="H36" s="114"/>
      <c r="I36" s="114"/>
      <c r="J36" s="114"/>
      <c r="K36" s="114"/>
      <c r="L36" s="114"/>
      <c r="M36" s="114"/>
    </row>
    <row r="40" spans="2:13" ht="15.75" x14ac:dyDescent="0.25">
      <c r="B40" s="20" t="s">
        <v>26</v>
      </c>
      <c r="C40" s="15"/>
      <c r="D40" s="16"/>
      <c r="G40" s="21" t="s">
        <v>27</v>
      </c>
    </row>
    <row r="41" spans="2:13" ht="15.75" x14ac:dyDescent="0.25">
      <c r="B41" s="111" t="s">
        <v>19</v>
      </c>
      <c r="C41" s="111"/>
      <c r="D41" s="111"/>
    </row>
    <row r="42" spans="2:13" ht="15.75" x14ac:dyDescent="0.25">
      <c r="B42" s="42">
        <v>1</v>
      </c>
      <c r="C42" s="10" t="s">
        <v>10</v>
      </c>
      <c r="D42" s="11">
        <v>50</v>
      </c>
    </row>
    <row r="43" spans="2:13" ht="15.75" x14ac:dyDescent="0.25">
      <c r="B43" s="42">
        <v>2</v>
      </c>
      <c r="C43" s="10" t="s">
        <v>11</v>
      </c>
      <c r="D43" s="11">
        <v>899</v>
      </c>
    </row>
    <row r="44" spans="2:13" ht="15.75" x14ac:dyDescent="0.25">
      <c r="B44" s="42">
        <v>3</v>
      </c>
      <c r="C44" s="10" t="s">
        <v>33</v>
      </c>
      <c r="D44" s="11">
        <v>0</v>
      </c>
    </row>
    <row r="45" spans="2:13" ht="15.75" x14ac:dyDescent="0.25">
      <c r="B45" s="42">
        <v>4</v>
      </c>
      <c r="C45" s="10" t="s">
        <v>32</v>
      </c>
      <c r="D45" s="11">
        <v>49</v>
      </c>
    </row>
    <row r="46" spans="2:13" ht="15.75" x14ac:dyDescent="0.25">
      <c r="B46" s="42">
        <v>5</v>
      </c>
      <c r="C46" s="10" t="s">
        <v>12</v>
      </c>
      <c r="D46" s="11">
        <v>0</v>
      </c>
    </row>
    <row r="47" spans="2:13" ht="15.75" x14ac:dyDescent="0.25">
      <c r="B47" s="104" t="s">
        <v>23</v>
      </c>
      <c r="C47" s="104"/>
      <c r="D47" s="7">
        <f>SUM(D42:D46)</f>
        <v>998</v>
      </c>
    </row>
    <row r="55" spans="2:7" ht="15.75" customHeight="1" x14ac:dyDescent="0.25">
      <c r="B55" s="20" t="s">
        <v>28</v>
      </c>
      <c r="G55" s="22" t="s">
        <v>41</v>
      </c>
    </row>
    <row r="56" spans="2:7" ht="15.75" x14ac:dyDescent="0.25">
      <c r="B56" s="104" t="s">
        <v>13</v>
      </c>
      <c r="C56" s="104"/>
      <c r="D56" s="104"/>
    </row>
    <row r="57" spans="2:7" ht="31.5" x14ac:dyDescent="0.25">
      <c r="B57" s="17">
        <v>1</v>
      </c>
      <c r="C57" s="18" t="s">
        <v>14</v>
      </c>
      <c r="D57" s="19">
        <v>0</v>
      </c>
    </row>
    <row r="58" spans="2:7" ht="31.5" x14ac:dyDescent="0.25">
      <c r="B58" s="17">
        <v>2</v>
      </c>
      <c r="C58" s="18" t="s">
        <v>15</v>
      </c>
      <c r="D58" s="19">
        <v>773</v>
      </c>
      <c r="G58" s="21" t="s">
        <v>29</v>
      </c>
    </row>
    <row r="59" spans="2:7" ht="31.5" x14ac:dyDescent="0.25">
      <c r="B59" s="17">
        <v>3</v>
      </c>
      <c r="C59" s="18" t="s">
        <v>16</v>
      </c>
      <c r="D59" s="19">
        <v>682</v>
      </c>
    </row>
    <row r="60" spans="2:7" ht="31.5" x14ac:dyDescent="0.25">
      <c r="B60" s="17">
        <v>4</v>
      </c>
      <c r="C60" s="18" t="s">
        <v>17</v>
      </c>
      <c r="D60" s="19">
        <v>0</v>
      </c>
    </row>
    <row r="61" spans="2:7" ht="31.5" x14ac:dyDescent="0.25">
      <c r="B61" s="17">
        <v>5</v>
      </c>
      <c r="C61" s="18" t="s">
        <v>18</v>
      </c>
      <c r="D61" s="19">
        <v>0</v>
      </c>
    </row>
    <row r="62" spans="2:7" ht="15.75" x14ac:dyDescent="0.25">
      <c r="B62" s="30"/>
      <c r="C62" s="31"/>
      <c r="D62" s="32"/>
    </row>
    <row r="63" spans="2:7" ht="15.75" x14ac:dyDescent="0.25">
      <c r="B63" s="30"/>
      <c r="C63" s="31"/>
      <c r="D63" s="32"/>
    </row>
    <row r="64" spans="2:7" x14ac:dyDescent="0.25">
      <c r="G64" s="22" t="s">
        <v>22</v>
      </c>
    </row>
    <row r="68" spans="7:13" x14ac:dyDescent="0.25">
      <c r="G68" s="114" t="s">
        <v>40</v>
      </c>
      <c r="H68" s="114"/>
      <c r="I68" s="114"/>
      <c r="J68" s="114"/>
      <c r="K68" s="114"/>
      <c r="L68" s="114"/>
      <c r="M68" s="114"/>
    </row>
    <row r="69" spans="7:13" ht="33" customHeight="1" x14ac:dyDescent="0.25">
      <c r="G69" s="114"/>
      <c r="H69" s="114"/>
      <c r="I69" s="114"/>
      <c r="J69" s="114"/>
      <c r="K69" s="114"/>
      <c r="L69" s="114"/>
      <c r="M69" s="114"/>
    </row>
  </sheetData>
  <mergeCells count="18">
    <mergeCell ref="B31:C31"/>
    <mergeCell ref="B47:C47"/>
    <mergeCell ref="B41:D41"/>
    <mergeCell ref="G35:M36"/>
    <mergeCell ref="G68:M69"/>
    <mergeCell ref="B56:D56"/>
    <mergeCell ref="B7:D7"/>
    <mergeCell ref="B15:C15"/>
    <mergeCell ref="B26:D26"/>
    <mergeCell ref="B1:N1"/>
    <mergeCell ref="B2:N2"/>
    <mergeCell ref="B4:N4"/>
    <mergeCell ref="B22:C22"/>
    <mergeCell ref="B21:C21"/>
    <mergeCell ref="B18:C18"/>
    <mergeCell ref="B17:C17"/>
    <mergeCell ref="B19:C19"/>
    <mergeCell ref="B20:C20"/>
  </mergeCells>
  <pageMargins left="0.7" right="0.7" top="0.75" bottom="0.75" header="0.3" footer="0.3"/>
  <pageSetup scale="68" fitToHeight="0" orientation="landscape" horizontalDpi="4294967292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9"/>
  <sheetViews>
    <sheetView topLeftCell="A6" workbookViewId="0">
      <selection activeCell="B1" sqref="B1:N1"/>
    </sheetView>
  </sheetViews>
  <sheetFormatPr baseColWidth="10" defaultRowHeight="15" x14ac:dyDescent="0.25"/>
  <cols>
    <col min="1" max="2" width="11.42578125" style="2"/>
    <col min="3" max="3" width="17.140625" style="2" customWidth="1"/>
    <col min="4" max="4" width="14.85546875" style="2" bestFit="1" customWidth="1"/>
    <col min="5" max="16384" width="11.42578125" style="2"/>
  </cols>
  <sheetData>
    <row r="1" spans="1:16" ht="133.5" customHeight="1" x14ac:dyDescent="0.25">
      <c r="A1" s="28"/>
      <c r="B1" s="105" t="s">
        <v>54</v>
      </c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29"/>
      <c r="P1" s="1"/>
    </row>
    <row r="2" spans="1:16" ht="23.25" x14ac:dyDescent="0.35">
      <c r="A2" s="28"/>
      <c r="B2" s="106" t="s">
        <v>0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28"/>
    </row>
    <row r="4" spans="1:16" ht="23.25" x14ac:dyDescent="0.35">
      <c r="B4" s="108" t="s">
        <v>53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</row>
    <row r="5" spans="1:16" ht="23.25" x14ac:dyDescent="0.35">
      <c r="B5" s="47"/>
      <c r="C5" s="47"/>
      <c r="D5" s="47"/>
      <c r="E5" s="47"/>
      <c r="F5" s="47"/>
      <c r="G5" s="21" t="s">
        <v>21</v>
      </c>
      <c r="H5" s="47"/>
      <c r="I5" s="47"/>
      <c r="J5" s="47"/>
      <c r="K5" s="47"/>
      <c r="L5" s="47"/>
      <c r="M5" s="47"/>
      <c r="N5" s="47"/>
    </row>
    <row r="6" spans="1:16" ht="23.25" x14ac:dyDescent="0.35">
      <c r="B6" s="20" t="s">
        <v>20</v>
      </c>
      <c r="E6" s="47"/>
      <c r="F6" s="47"/>
      <c r="G6" s="47"/>
      <c r="H6" s="47"/>
      <c r="I6" s="47"/>
      <c r="J6" s="47"/>
      <c r="K6" s="47"/>
      <c r="L6" s="47"/>
      <c r="M6" s="47"/>
      <c r="N6" s="47"/>
    </row>
    <row r="7" spans="1:16" ht="23.25" x14ac:dyDescent="0.35">
      <c r="B7" s="111" t="s">
        <v>8</v>
      </c>
      <c r="C7" s="111"/>
      <c r="D7" s="111"/>
      <c r="E7" s="47"/>
      <c r="F7" s="47"/>
      <c r="G7" s="47"/>
      <c r="H7" s="47"/>
      <c r="I7" s="47"/>
      <c r="J7" s="47"/>
      <c r="K7" s="47"/>
      <c r="L7" s="47"/>
      <c r="M7" s="47"/>
      <c r="N7" s="47"/>
    </row>
    <row r="8" spans="1:16" ht="23.25" x14ac:dyDescent="0.35">
      <c r="B8" s="46">
        <v>1</v>
      </c>
      <c r="C8" s="4" t="s">
        <v>1</v>
      </c>
      <c r="D8" s="19">
        <v>329</v>
      </c>
      <c r="E8" s="47"/>
      <c r="F8" s="47"/>
      <c r="G8" s="47"/>
      <c r="H8" s="47"/>
      <c r="I8" s="47"/>
      <c r="J8" s="47"/>
      <c r="K8" s="47"/>
      <c r="L8" s="47"/>
      <c r="M8" s="47"/>
      <c r="N8" s="47"/>
    </row>
    <row r="9" spans="1:16" ht="15.75" x14ac:dyDescent="0.25">
      <c r="B9" s="46">
        <v>2</v>
      </c>
      <c r="C9" s="5" t="s">
        <v>30</v>
      </c>
      <c r="D9" s="19">
        <v>373</v>
      </c>
    </row>
    <row r="10" spans="1:16" ht="15.75" x14ac:dyDescent="0.25">
      <c r="B10" s="46">
        <v>3</v>
      </c>
      <c r="C10" s="5" t="s">
        <v>2</v>
      </c>
      <c r="D10" s="19">
        <v>170</v>
      </c>
    </row>
    <row r="11" spans="1:16" ht="31.5" x14ac:dyDescent="0.25">
      <c r="B11" s="46">
        <v>4</v>
      </c>
      <c r="C11" s="4" t="s">
        <v>3</v>
      </c>
      <c r="D11" s="19">
        <v>13</v>
      </c>
    </row>
    <row r="12" spans="1:16" ht="15.75" x14ac:dyDescent="0.25">
      <c r="B12" s="46">
        <v>5</v>
      </c>
      <c r="C12" s="4" t="s">
        <v>4</v>
      </c>
      <c r="D12" s="19">
        <v>5</v>
      </c>
    </row>
    <row r="13" spans="1:16" ht="15.75" x14ac:dyDescent="0.25">
      <c r="B13" s="46">
        <v>6</v>
      </c>
      <c r="C13" s="4" t="s">
        <v>37</v>
      </c>
      <c r="D13" s="6">
        <v>0</v>
      </c>
    </row>
    <row r="14" spans="1:16" ht="15.75" x14ac:dyDescent="0.25">
      <c r="B14" s="46">
        <v>7</v>
      </c>
      <c r="C14" s="4" t="s">
        <v>38</v>
      </c>
      <c r="D14" s="19">
        <v>0</v>
      </c>
    </row>
    <row r="15" spans="1:16" ht="15.75" x14ac:dyDescent="0.25">
      <c r="B15" s="104" t="s">
        <v>23</v>
      </c>
      <c r="C15" s="104"/>
      <c r="D15" s="26">
        <f>SUM(D8+D10+D11+D9+D13+D12)</f>
        <v>890</v>
      </c>
    </row>
    <row r="17" spans="2:7" ht="15.75" x14ac:dyDescent="0.25">
      <c r="B17" s="109" t="s">
        <v>34</v>
      </c>
      <c r="C17" s="110"/>
      <c r="D17" s="23">
        <v>890</v>
      </c>
      <c r="G17" s="22" t="s">
        <v>41</v>
      </c>
    </row>
    <row r="18" spans="2:7" ht="15.75" x14ac:dyDescent="0.25">
      <c r="B18" s="109" t="s">
        <v>35</v>
      </c>
      <c r="C18" s="110"/>
      <c r="D18" s="23">
        <v>13</v>
      </c>
    </row>
    <row r="19" spans="2:7" ht="15.75" x14ac:dyDescent="0.25">
      <c r="B19" s="109" t="s">
        <v>39</v>
      </c>
      <c r="C19" s="110"/>
      <c r="D19" s="23">
        <v>5</v>
      </c>
    </row>
    <row r="20" spans="2:7" ht="15.75" x14ac:dyDescent="0.25">
      <c r="B20" s="109" t="s">
        <v>37</v>
      </c>
      <c r="C20" s="110"/>
      <c r="D20" s="23">
        <v>0</v>
      </c>
    </row>
    <row r="21" spans="2:7" ht="15.75" x14ac:dyDescent="0.25">
      <c r="B21" s="109" t="s">
        <v>38</v>
      </c>
      <c r="C21" s="110"/>
      <c r="D21" s="23">
        <v>0</v>
      </c>
      <c r="G21" s="21" t="s">
        <v>25</v>
      </c>
    </row>
    <row r="22" spans="2:7" ht="15.75" x14ac:dyDescent="0.25">
      <c r="B22" s="109" t="s">
        <v>36</v>
      </c>
      <c r="C22" s="110"/>
      <c r="D22" s="27">
        <f>(D17)-D18</f>
        <v>877</v>
      </c>
    </row>
    <row r="25" spans="2:7" ht="15.75" x14ac:dyDescent="0.25">
      <c r="B25" s="20" t="s">
        <v>24</v>
      </c>
    </row>
    <row r="26" spans="2:7" ht="15.75" x14ac:dyDescent="0.25">
      <c r="B26" s="104" t="s">
        <v>9</v>
      </c>
      <c r="C26" s="104"/>
      <c r="D26" s="104"/>
    </row>
    <row r="27" spans="2:7" ht="15.75" x14ac:dyDescent="0.25">
      <c r="B27" s="45">
        <v>1</v>
      </c>
      <c r="C27" s="10" t="s">
        <v>5</v>
      </c>
      <c r="D27" s="11">
        <v>25</v>
      </c>
    </row>
    <row r="28" spans="2:7" ht="31.5" x14ac:dyDescent="0.25">
      <c r="B28" s="46">
        <v>2</v>
      </c>
      <c r="C28" s="12" t="s">
        <v>31</v>
      </c>
      <c r="D28" s="11">
        <v>638</v>
      </c>
    </row>
    <row r="29" spans="2:7" ht="15.75" x14ac:dyDescent="0.25">
      <c r="B29" s="45">
        <v>3</v>
      </c>
      <c r="C29" s="13" t="s">
        <v>6</v>
      </c>
      <c r="D29" s="14">
        <v>0</v>
      </c>
    </row>
    <row r="30" spans="2:7" ht="15.75" x14ac:dyDescent="0.25">
      <c r="B30" s="45">
        <v>4</v>
      </c>
      <c r="C30" s="10" t="s">
        <v>7</v>
      </c>
      <c r="D30" s="14">
        <v>39</v>
      </c>
    </row>
    <row r="31" spans="2:7" ht="15.75" x14ac:dyDescent="0.25">
      <c r="B31" s="112" t="s">
        <v>23</v>
      </c>
      <c r="C31" s="113"/>
      <c r="D31" s="46">
        <f>SUM(D27:D30)</f>
        <v>702</v>
      </c>
    </row>
    <row r="35" spans="2:13" x14ac:dyDescent="0.25">
      <c r="G35" s="114" t="s">
        <v>42</v>
      </c>
      <c r="H35" s="114"/>
      <c r="I35" s="114"/>
      <c r="J35" s="114"/>
      <c r="K35" s="114"/>
      <c r="L35" s="114"/>
      <c r="M35" s="114"/>
    </row>
    <row r="36" spans="2:13" x14ac:dyDescent="0.25">
      <c r="G36" s="114"/>
      <c r="H36" s="114"/>
      <c r="I36" s="114"/>
      <c r="J36" s="114"/>
      <c r="K36" s="114"/>
      <c r="L36" s="114"/>
      <c r="M36" s="114"/>
    </row>
    <row r="40" spans="2:13" ht="15.75" x14ac:dyDescent="0.25">
      <c r="B40" s="20" t="s">
        <v>26</v>
      </c>
      <c r="C40" s="15"/>
      <c r="D40" s="16"/>
      <c r="G40" s="21" t="s">
        <v>27</v>
      </c>
    </row>
    <row r="41" spans="2:13" ht="15.75" x14ac:dyDescent="0.25">
      <c r="B41" s="111" t="s">
        <v>19</v>
      </c>
      <c r="C41" s="111"/>
      <c r="D41" s="111"/>
    </row>
    <row r="42" spans="2:13" ht="15.75" x14ac:dyDescent="0.25">
      <c r="B42" s="45">
        <v>1</v>
      </c>
      <c r="C42" s="10" t="s">
        <v>10</v>
      </c>
      <c r="D42" s="11">
        <v>35</v>
      </c>
    </row>
    <row r="43" spans="2:13" ht="15.75" x14ac:dyDescent="0.25">
      <c r="B43" s="45">
        <v>2</v>
      </c>
      <c r="C43" s="10" t="s">
        <v>11</v>
      </c>
      <c r="D43" s="11">
        <v>812</v>
      </c>
    </row>
    <row r="44" spans="2:13" ht="15.75" x14ac:dyDescent="0.25">
      <c r="B44" s="45">
        <v>3</v>
      </c>
      <c r="C44" s="10" t="s">
        <v>33</v>
      </c>
      <c r="D44" s="11">
        <v>0</v>
      </c>
    </row>
    <row r="45" spans="2:13" ht="15.75" x14ac:dyDescent="0.25">
      <c r="B45" s="45">
        <v>4</v>
      </c>
      <c r="C45" s="10" t="s">
        <v>32</v>
      </c>
      <c r="D45" s="11">
        <v>43</v>
      </c>
    </row>
    <row r="46" spans="2:13" ht="15.75" x14ac:dyDescent="0.25">
      <c r="B46" s="45">
        <v>5</v>
      </c>
      <c r="C46" s="10" t="s">
        <v>12</v>
      </c>
      <c r="D46" s="11">
        <v>0</v>
      </c>
    </row>
    <row r="47" spans="2:13" ht="15.75" x14ac:dyDescent="0.25">
      <c r="B47" s="104" t="s">
        <v>23</v>
      </c>
      <c r="C47" s="104"/>
      <c r="D47" s="7">
        <f>SUM(D42:D46)</f>
        <v>890</v>
      </c>
    </row>
    <row r="55" spans="2:7" ht="15.75" customHeight="1" x14ac:dyDescent="0.25">
      <c r="B55" s="20" t="s">
        <v>28</v>
      </c>
      <c r="G55" s="22" t="s">
        <v>41</v>
      </c>
    </row>
    <row r="56" spans="2:7" ht="15.75" x14ac:dyDescent="0.25">
      <c r="B56" s="104" t="s">
        <v>13</v>
      </c>
      <c r="C56" s="104"/>
      <c r="D56" s="104"/>
    </row>
    <row r="57" spans="2:7" ht="31.5" x14ac:dyDescent="0.25">
      <c r="B57" s="17">
        <v>1</v>
      </c>
      <c r="C57" s="18" t="s">
        <v>14</v>
      </c>
      <c r="D57" s="19">
        <v>0</v>
      </c>
    </row>
    <row r="58" spans="2:7" ht="31.5" x14ac:dyDescent="0.25">
      <c r="B58" s="17">
        <v>2</v>
      </c>
      <c r="C58" s="18" t="s">
        <v>15</v>
      </c>
      <c r="D58" s="19">
        <v>702</v>
      </c>
      <c r="G58" s="21" t="s">
        <v>29</v>
      </c>
    </row>
    <row r="59" spans="2:7" ht="31.5" x14ac:dyDescent="0.25">
      <c r="B59" s="17">
        <v>3</v>
      </c>
      <c r="C59" s="18" t="s">
        <v>16</v>
      </c>
      <c r="D59" s="19">
        <v>270</v>
      </c>
    </row>
    <row r="60" spans="2:7" ht="31.5" x14ac:dyDescent="0.25">
      <c r="B60" s="17">
        <v>4</v>
      </c>
      <c r="C60" s="18" t="s">
        <v>17</v>
      </c>
      <c r="D60" s="19">
        <v>0</v>
      </c>
    </row>
    <row r="61" spans="2:7" ht="31.5" x14ac:dyDescent="0.25">
      <c r="B61" s="17">
        <v>5</v>
      </c>
      <c r="C61" s="18" t="s">
        <v>18</v>
      </c>
      <c r="D61" s="19">
        <v>0</v>
      </c>
    </row>
    <row r="62" spans="2:7" ht="15.75" x14ac:dyDescent="0.25">
      <c r="B62" s="30"/>
      <c r="C62" s="31"/>
      <c r="D62" s="32"/>
    </row>
    <row r="63" spans="2:7" ht="15.75" x14ac:dyDescent="0.25">
      <c r="B63" s="30"/>
      <c r="C63" s="31"/>
      <c r="D63" s="32"/>
    </row>
    <row r="64" spans="2:7" x14ac:dyDescent="0.25">
      <c r="G64" s="22" t="s">
        <v>22</v>
      </c>
    </row>
    <row r="68" spans="7:13" x14ac:dyDescent="0.25">
      <c r="G68" s="114" t="s">
        <v>40</v>
      </c>
      <c r="H68" s="114"/>
      <c r="I68" s="114"/>
      <c r="J68" s="114"/>
      <c r="K68" s="114"/>
      <c r="L68" s="114"/>
      <c r="M68" s="114"/>
    </row>
    <row r="69" spans="7:13" ht="33" customHeight="1" x14ac:dyDescent="0.25">
      <c r="G69" s="114"/>
      <c r="H69" s="114"/>
      <c r="I69" s="114"/>
      <c r="J69" s="114"/>
      <c r="K69" s="114"/>
      <c r="L69" s="114"/>
      <c r="M69" s="114"/>
    </row>
  </sheetData>
  <mergeCells count="18">
    <mergeCell ref="G68:M69"/>
    <mergeCell ref="B56:D56"/>
    <mergeCell ref="B7:D7"/>
    <mergeCell ref="B15:C15"/>
    <mergeCell ref="B31:C31"/>
    <mergeCell ref="B47:C47"/>
    <mergeCell ref="B41:D41"/>
    <mergeCell ref="G35:M36"/>
    <mergeCell ref="B26:D26"/>
    <mergeCell ref="B1:N1"/>
    <mergeCell ref="B2:N2"/>
    <mergeCell ref="B4:N4"/>
    <mergeCell ref="B22:C22"/>
    <mergeCell ref="B21:C21"/>
    <mergeCell ref="B18:C18"/>
    <mergeCell ref="B17:C17"/>
    <mergeCell ref="B19:C19"/>
    <mergeCell ref="B20:C20"/>
  </mergeCells>
  <pageMargins left="0.7" right="0.7" top="0.75" bottom="0.75" header="0.3" footer="0.3"/>
  <pageSetup scale="68" fitToHeight="0" orientation="landscape" horizontalDpi="4294967292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9"/>
  <sheetViews>
    <sheetView topLeftCell="A7" workbookViewId="0">
      <selection activeCell="D62" sqref="D62"/>
    </sheetView>
  </sheetViews>
  <sheetFormatPr baseColWidth="10" defaultRowHeight="15" x14ac:dyDescent="0.25"/>
  <cols>
    <col min="1" max="2" width="11.42578125" style="2"/>
    <col min="3" max="3" width="17.140625" style="2" customWidth="1"/>
    <col min="4" max="4" width="14.85546875" style="2" bestFit="1" customWidth="1"/>
    <col min="5" max="16384" width="11.42578125" style="2"/>
  </cols>
  <sheetData>
    <row r="1" spans="1:16" ht="133.5" customHeight="1" x14ac:dyDescent="0.25">
      <c r="A1" s="28"/>
      <c r="B1" s="105" t="s">
        <v>56</v>
      </c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29"/>
      <c r="P1" s="1"/>
    </row>
    <row r="2" spans="1:16" ht="23.25" x14ac:dyDescent="0.35">
      <c r="A2" s="28"/>
      <c r="B2" s="106" t="s">
        <v>0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28"/>
    </row>
    <row r="4" spans="1:16" ht="23.25" x14ac:dyDescent="0.35">
      <c r="B4" s="108" t="s">
        <v>55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</row>
    <row r="5" spans="1:16" ht="23.25" x14ac:dyDescent="0.35">
      <c r="B5" s="49"/>
      <c r="C5" s="49"/>
      <c r="D5" s="49"/>
      <c r="E5" s="49"/>
      <c r="F5" s="49"/>
      <c r="G5" s="21" t="s">
        <v>21</v>
      </c>
      <c r="H5" s="49"/>
      <c r="I5" s="49"/>
      <c r="J5" s="49"/>
      <c r="K5" s="49"/>
      <c r="L5" s="49"/>
      <c r="M5" s="49"/>
      <c r="N5" s="49"/>
    </row>
    <row r="6" spans="1:16" ht="23.25" x14ac:dyDescent="0.35">
      <c r="B6" s="20" t="s">
        <v>20</v>
      </c>
      <c r="E6" s="49"/>
      <c r="F6" s="49"/>
      <c r="G6" s="49"/>
      <c r="H6" s="49"/>
      <c r="I6" s="49"/>
      <c r="J6" s="49"/>
      <c r="K6" s="49"/>
      <c r="L6" s="49"/>
      <c r="M6" s="49"/>
      <c r="N6" s="49"/>
    </row>
    <row r="7" spans="1:16" ht="23.25" x14ac:dyDescent="0.35">
      <c r="B7" s="111" t="s">
        <v>8</v>
      </c>
      <c r="C7" s="111"/>
      <c r="D7" s="111"/>
      <c r="E7" s="49"/>
      <c r="F7" s="49"/>
      <c r="G7" s="49"/>
      <c r="H7" s="49"/>
      <c r="I7" s="49"/>
      <c r="J7" s="49"/>
      <c r="K7" s="49"/>
      <c r="L7" s="49"/>
      <c r="M7" s="49"/>
      <c r="N7" s="49"/>
    </row>
    <row r="8" spans="1:16" ht="23.25" x14ac:dyDescent="0.35">
      <c r="B8" s="50">
        <v>1</v>
      </c>
      <c r="C8" s="4" t="s">
        <v>1</v>
      </c>
      <c r="D8" s="19">
        <v>333</v>
      </c>
      <c r="E8" s="49"/>
      <c r="F8" s="49"/>
      <c r="G8" s="49"/>
      <c r="H8" s="49"/>
      <c r="I8" s="49"/>
      <c r="J8" s="49"/>
      <c r="K8" s="49"/>
      <c r="L8" s="49"/>
      <c r="M8" s="49"/>
      <c r="N8" s="49"/>
    </row>
    <row r="9" spans="1:16" ht="15.75" x14ac:dyDescent="0.25">
      <c r="B9" s="50">
        <v>2</v>
      </c>
      <c r="C9" s="5" t="s">
        <v>30</v>
      </c>
      <c r="D9" s="19">
        <v>352</v>
      </c>
    </row>
    <row r="10" spans="1:16" ht="15.75" x14ac:dyDescent="0.25">
      <c r="B10" s="50">
        <v>3</v>
      </c>
      <c r="C10" s="5" t="s">
        <v>2</v>
      </c>
      <c r="D10" s="19">
        <v>179</v>
      </c>
    </row>
    <row r="11" spans="1:16" ht="31.5" x14ac:dyDescent="0.25">
      <c r="B11" s="50">
        <v>4</v>
      </c>
      <c r="C11" s="4" t="s">
        <v>3</v>
      </c>
      <c r="D11" s="19">
        <v>8</v>
      </c>
    </row>
    <row r="12" spans="1:16" ht="15.75" x14ac:dyDescent="0.25">
      <c r="B12" s="50">
        <v>5</v>
      </c>
      <c r="C12" s="4" t="s">
        <v>4</v>
      </c>
      <c r="D12" s="19">
        <v>3</v>
      </c>
    </row>
    <row r="13" spans="1:16" ht="15.75" x14ac:dyDescent="0.25">
      <c r="B13" s="50">
        <v>6</v>
      </c>
      <c r="C13" s="4" t="s">
        <v>37</v>
      </c>
      <c r="D13" s="6">
        <v>0</v>
      </c>
    </row>
    <row r="14" spans="1:16" ht="15.75" x14ac:dyDescent="0.25">
      <c r="B14" s="50">
        <v>7</v>
      </c>
      <c r="C14" s="4" t="s">
        <v>38</v>
      </c>
      <c r="D14" s="19">
        <v>0</v>
      </c>
    </row>
    <row r="15" spans="1:16" ht="15.75" x14ac:dyDescent="0.25">
      <c r="B15" s="104" t="s">
        <v>23</v>
      </c>
      <c r="C15" s="104"/>
      <c r="D15" s="26">
        <f>SUM(D8+D10+D11+D9+D13+D12)</f>
        <v>875</v>
      </c>
    </row>
    <row r="17" spans="2:7" ht="15.75" x14ac:dyDescent="0.25">
      <c r="B17" s="109" t="s">
        <v>34</v>
      </c>
      <c r="C17" s="110"/>
      <c r="D17" s="23">
        <v>875</v>
      </c>
      <c r="G17" s="22" t="s">
        <v>41</v>
      </c>
    </row>
    <row r="18" spans="2:7" ht="15.75" x14ac:dyDescent="0.25">
      <c r="B18" s="109" t="s">
        <v>35</v>
      </c>
      <c r="C18" s="110"/>
      <c r="D18" s="23">
        <v>8</v>
      </c>
    </row>
    <row r="19" spans="2:7" ht="15.75" x14ac:dyDescent="0.25">
      <c r="B19" s="109" t="s">
        <v>39</v>
      </c>
      <c r="C19" s="110"/>
      <c r="D19" s="23">
        <v>3</v>
      </c>
    </row>
    <row r="20" spans="2:7" ht="15.75" x14ac:dyDescent="0.25">
      <c r="B20" s="109" t="s">
        <v>37</v>
      </c>
      <c r="C20" s="110"/>
      <c r="D20" s="23">
        <v>0</v>
      </c>
    </row>
    <row r="21" spans="2:7" ht="15.75" x14ac:dyDescent="0.25">
      <c r="B21" s="109" t="s">
        <v>38</v>
      </c>
      <c r="C21" s="110"/>
      <c r="D21" s="23">
        <v>0</v>
      </c>
      <c r="G21" s="21" t="s">
        <v>25</v>
      </c>
    </row>
    <row r="22" spans="2:7" ht="15.75" x14ac:dyDescent="0.25">
      <c r="B22" s="109" t="s">
        <v>36</v>
      </c>
      <c r="C22" s="110"/>
      <c r="D22" s="27">
        <f>(D17)-D18</f>
        <v>867</v>
      </c>
    </row>
    <row r="25" spans="2:7" ht="15.75" x14ac:dyDescent="0.25">
      <c r="B25" s="20" t="s">
        <v>24</v>
      </c>
    </row>
    <row r="26" spans="2:7" ht="15.75" x14ac:dyDescent="0.25">
      <c r="B26" s="104" t="s">
        <v>9</v>
      </c>
      <c r="C26" s="104"/>
      <c r="D26" s="104"/>
    </row>
    <row r="27" spans="2:7" ht="15.75" x14ac:dyDescent="0.25">
      <c r="B27" s="48">
        <v>1</v>
      </c>
      <c r="C27" s="10" t="s">
        <v>5</v>
      </c>
      <c r="D27" s="11">
        <v>22</v>
      </c>
    </row>
    <row r="28" spans="2:7" ht="31.5" x14ac:dyDescent="0.25">
      <c r="B28" s="50">
        <v>2</v>
      </c>
      <c r="C28" s="12" t="s">
        <v>31</v>
      </c>
      <c r="D28" s="11">
        <v>636</v>
      </c>
    </row>
    <row r="29" spans="2:7" ht="15.75" x14ac:dyDescent="0.25">
      <c r="B29" s="48">
        <v>3</v>
      </c>
      <c r="C29" s="13" t="s">
        <v>6</v>
      </c>
      <c r="D29" s="14">
        <v>0</v>
      </c>
    </row>
    <row r="30" spans="2:7" ht="15.75" x14ac:dyDescent="0.25">
      <c r="B30" s="48">
        <v>4</v>
      </c>
      <c r="C30" s="10" t="s">
        <v>7</v>
      </c>
      <c r="D30" s="14">
        <v>27</v>
      </c>
    </row>
    <row r="31" spans="2:7" ht="15.75" x14ac:dyDescent="0.25">
      <c r="B31" s="112" t="s">
        <v>23</v>
      </c>
      <c r="C31" s="113"/>
      <c r="D31" s="50">
        <f>SUM(D27:D30)</f>
        <v>685</v>
      </c>
    </row>
    <row r="35" spans="2:13" x14ac:dyDescent="0.25">
      <c r="G35" s="114" t="s">
        <v>42</v>
      </c>
      <c r="H35" s="114"/>
      <c r="I35" s="114"/>
      <c r="J35" s="114"/>
      <c r="K35" s="114"/>
      <c r="L35" s="114"/>
      <c r="M35" s="114"/>
    </row>
    <row r="36" spans="2:13" x14ac:dyDescent="0.25">
      <c r="G36" s="114"/>
      <c r="H36" s="114"/>
      <c r="I36" s="114"/>
      <c r="J36" s="114"/>
      <c r="K36" s="114"/>
      <c r="L36" s="114"/>
      <c r="M36" s="114"/>
    </row>
    <row r="40" spans="2:13" ht="15.75" x14ac:dyDescent="0.25">
      <c r="B40" s="20" t="s">
        <v>26</v>
      </c>
      <c r="C40" s="15"/>
      <c r="D40" s="16"/>
      <c r="G40" s="21" t="s">
        <v>27</v>
      </c>
    </row>
    <row r="41" spans="2:13" ht="15.75" x14ac:dyDescent="0.25">
      <c r="B41" s="111" t="s">
        <v>19</v>
      </c>
      <c r="C41" s="111"/>
      <c r="D41" s="111"/>
    </row>
    <row r="42" spans="2:13" ht="15.75" x14ac:dyDescent="0.25">
      <c r="B42" s="48">
        <v>1</v>
      </c>
      <c r="C42" s="10" t="s">
        <v>10</v>
      </c>
      <c r="D42" s="11">
        <v>30</v>
      </c>
    </row>
    <row r="43" spans="2:13" ht="15.75" x14ac:dyDescent="0.25">
      <c r="B43" s="48">
        <v>2</v>
      </c>
      <c r="C43" s="10" t="s">
        <v>11</v>
      </c>
      <c r="D43" s="11">
        <v>792</v>
      </c>
    </row>
    <row r="44" spans="2:13" ht="15.75" x14ac:dyDescent="0.25">
      <c r="B44" s="48">
        <v>3</v>
      </c>
      <c r="C44" s="10" t="s">
        <v>33</v>
      </c>
      <c r="D44" s="11">
        <v>0</v>
      </c>
    </row>
    <row r="45" spans="2:13" ht="15.75" x14ac:dyDescent="0.25">
      <c r="B45" s="48">
        <v>4</v>
      </c>
      <c r="C45" s="10" t="s">
        <v>32</v>
      </c>
      <c r="D45" s="11">
        <v>53</v>
      </c>
    </row>
    <row r="46" spans="2:13" ht="15.75" x14ac:dyDescent="0.25">
      <c r="B46" s="48">
        <v>5</v>
      </c>
      <c r="C46" s="10" t="s">
        <v>12</v>
      </c>
      <c r="D46" s="11">
        <v>0</v>
      </c>
    </row>
    <row r="47" spans="2:13" ht="15.75" x14ac:dyDescent="0.25">
      <c r="B47" s="104" t="s">
        <v>23</v>
      </c>
      <c r="C47" s="104"/>
      <c r="D47" s="7">
        <f>SUM(D42:D46)</f>
        <v>875</v>
      </c>
    </row>
    <row r="55" spans="2:7" ht="15.75" customHeight="1" x14ac:dyDescent="0.25">
      <c r="B55" s="20" t="s">
        <v>28</v>
      </c>
      <c r="G55" s="22" t="s">
        <v>41</v>
      </c>
    </row>
    <row r="56" spans="2:7" ht="15.75" x14ac:dyDescent="0.25">
      <c r="B56" s="104" t="s">
        <v>13</v>
      </c>
      <c r="C56" s="104"/>
      <c r="D56" s="104"/>
    </row>
    <row r="57" spans="2:7" ht="31.5" x14ac:dyDescent="0.25">
      <c r="B57" s="17">
        <v>1</v>
      </c>
      <c r="C57" s="18" t="s">
        <v>14</v>
      </c>
      <c r="D57" s="19">
        <v>0</v>
      </c>
    </row>
    <row r="58" spans="2:7" ht="31.5" x14ac:dyDescent="0.25">
      <c r="B58" s="17">
        <v>2</v>
      </c>
      <c r="C58" s="18" t="s">
        <v>15</v>
      </c>
      <c r="D58" s="19">
        <v>685</v>
      </c>
      <c r="G58" s="21" t="s">
        <v>29</v>
      </c>
    </row>
    <row r="59" spans="2:7" ht="31.5" x14ac:dyDescent="0.25">
      <c r="B59" s="17">
        <v>3</v>
      </c>
      <c r="C59" s="18" t="s">
        <v>16</v>
      </c>
      <c r="D59" s="19">
        <v>257</v>
      </c>
    </row>
    <row r="60" spans="2:7" ht="31.5" x14ac:dyDescent="0.25">
      <c r="B60" s="17">
        <v>4</v>
      </c>
      <c r="C60" s="18" t="s">
        <v>17</v>
      </c>
      <c r="D60" s="19">
        <v>0</v>
      </c>
    </row>
    <row r="61" spans="2:7" ht="31.5" x14ac:dyDescent="0.25">
      <c r="B61" s="17">
        <v>5</v>
      </c>
      <c r="C61" s="18" t="s">
        <v>18</v>
      </c>
      <c r="D61" s="19">
        <v>0</v>
      </c>
    </row>
    <row r="62" spans="2:7" ht="15.75" x14ac:dyDescent="0.25">
      <c r="B62" s="30"/>
      <c r="C62" s="31"/>
      <c r="D62" s="32"/>
    </row>
    <row r="63" spans="2:7" ht="15.75" x14ac:dyDescent="0.25">
      <c r="B63" s="30"/>
      <c r="C63" s="31"/>
      <c r="D63" s="32"/>
    </row>
    <row r="64" spans="2:7" x14ac:dyDescent="0.25">
      <c r="G64" s="22" t="s">
        <v>22</v>
      </c>
    </row>
    <row r="68" spans="7:13" x14ac:dyDescent="0.25">
      <c r="G68" s="114" t="s">
        <v>40</v>
      </c>
      <c r="H68" s="114"/>
      <c r="I68" s="114"/>
      <c r="J68" s="114"/>
      <c r="K68" s="114"/>
      <c r="L68" s="114"/>
      <c r="M68" s="114"/>
    </row>
    <row r="69" spans="7:13" ht="33" customHeight="1" x14ac:dyDescent="0.25">
      <c r="G69" s="114"/>
      <c r="H69" s="114"/>
      <c r="I69" s="114"/>
      <c r="J69" s="114"/>
      <c r="K69" s="114"/>
      <c r="L69" s="114"/>
      <c r="M69" s="114"/>
    </row>
  </sheetData>
  <mergeCells count="18">
    <mergeCell ref="B31:C31"/>
    <mergeCell ref="B47:C47"/>
    <mergeCell ref="B41:D41"/>
    <mergeCell ref="G35:M36"/>
    <mergeCell ref="G68:M69"/>
    <mergeCell ref="B56:D56"/>
    <mergeCell ref="B7:D7"/>
    <mergeCell ref="B15:C15"/>
    <mergeCell ref="B26:D26"/>
    <mergeCell ref="B1:N1"/>
    <mergeCell ref="B2:N2"/>
    <mergeCell ref="B4:N4"/>
    <mergeCell ref="B22:C22"/>
    <mergeCell ref="B21:C21"/>
    <mergeCell ref="B18:C18"/>
    <mergeCell ref="B17:C17"/>
    <mergeCell ref="B19:C19"/>
    <mergeCell ref="B20:C20"/>
  </mergeCells>
  <pageMargins left="0.7" right="0.7" top="0.75" bottom="0.75" header="0.3" footer="0.3"/>
  <pageSetup scale="68" fitToHeight="0" orientation="landscape" horizontalDpi="4294967292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9"/>
  <sheetViews>
    <sheetView workbookViewId="0">
      <selection activeCell="F15" sqref="F15"/>
    </sheetView>
  </sheetViews>
  <sheetFormatPr baseColWidth="10" defaultRowHeight="15" x14ac:dyDescent="0.25"/>
  <cols>
    <col min="1" max="2" width="11.42578125" style="2"/>
    <col min="3" max="3" width="17.140625" style="2" customWidth="1"/>
    <col min="4" max="4" width="14.85546875" style="2" bestFit="1" customWidth="1"/>
    <col min="5" max="16384" width="11.42578125" style="2"/>
  </cols>
  <sheetData>
    <row r="1" spans="1:16" ht="133.5" customHeight="1" x14ac:dyDescent="0.25">
      <c r="A1" s="28"/>
      <c r="B1" s="105" t="s">
        <v>58</v>
      </c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29"/>
      <c r="P1" s="1"/>
    </row>
    <row r="2" spans="1:16" ht="23.25" x14ac:dyDescent="0.35">
      <c r="A2" s="28"/>
      <c r="B2" s="106" t="s">
        <v>0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28"/>
    </row>
    <row r="4" spans="1:16" ht="23.25" x14ac:dyDescent="0.35">
      <c r="B4" s="108" t="s">
        <v>57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</row>
    <row r="5" spans="1:16" ht="23.25" x14ac:dyDescent="0.35">
      <c r="B5" s="53"/>
      <c r="C5" s="53"/>
      <c r="D5" s="53"/>
      <c r="E5" s="53"/>
      <c r="F5" s="53"/>
      <c r="G5" s="21" t="s">
        <v>21</v>
      </c>
      <c r="H5" s="53"/>
      <c r="I5" s="53"/>
      <c r="J5" s="53"/>
      <c r="K5" s="53"/>
      <c r="L5" s="53"/>
      <c r="M5" s="53"/>
      <c r="N5" s="53"/>
    </row>
    <row r="6" spans="1:16" ht="23.25" x14ac:dyDescent="0.35">
      <c r="B6" s="20" t="s">
        <v>20</v>
      </c>
      <c r="E6" s="53"/>
      <c r="F6" s="53"/>
      <c r="G6" s="53"/>
      <c r="H6" s="53"/>
      <c r="I6" s="53"/>
      <c r="J6" s="53"/>
      <c r="K6" s="53"/>
      <c r="L6" s="53"/>
      <c r="M6" s="53"/>
      <c r="N6" s="53"/>
    </row>
    <row r="7" spans="1:16" ht="23.25" x14ac:dyDescent="0.35">
      <c r="B7" s="111" t="s">
        <v>8</v>
      </c>
      <c r="C7" s="111"/>
      <c r="D7" s="111"/>
      <c r="E7" s="53"/>
      <c r="F7" s="53"/>
      <c r="G7" s="53"/>
      <c r="H7" s="53"/>
      <c r="I7" s="53"/>
      <c r="J7" s="53"/>
      <c r="K7" s="53"/>
      <c r="L7" s="53"/>
      <c r="M7" s="53"/>
      <c r="N7" s="53"/>
    </row>
    <row r="8" spans="1:16" ht="23.25" x14ac:dyDescent="0.35">
      <c r="B8" s="52">
        <v>1</v>
      </c>
      <c r="C8" s="4" t="s">
        <v>1</v>
      </c>
      <c r="D8" s="19">
        <v>342</v>
      </c>
      <c r="E8" s="53"/>
      <c r="F8" s="53"/>
      <c r="G8" s="53"/>
      <c r="H8" s="53"/>
      <c r="I8" s="53"/>
      <c r="J8" s="53"/>
      <c r="K8" s="53"/>
      <c r="L8" s="53"/>
      <c r="M8" s="53"/>
      <c r="N8" s="53"/>
    </row>
    <row r="9" spans="1:16" ht="15.75" x14ac:dyDescent="0.25">
      <c r="B9" s="52">
        <v>2</v>
      </c>
      <c r="C9" s="5" t="s">
        <v>30</v>
      </c>
      <c r="D9" s="19">
        <v>458</v>
      </c>
    </row>
    <row r="10" spans="1:16" ht="15.75" x14ac:dyDescent="0.25">
      <c r="B10" s="52">
        <v>3</v>
      </c>
      <c r="C10" s="5" t="s">
        <v>2</v>
      </c>
      <c r="D10" s="19">
        <v>185</v>
      </c>
    </row>
    <row r="11" spans="1:16" ht="31.5" x14ac:dyDescent="0.25">
      <c r="B11" s="52">
        <v>4</v>
      </c>
      <c r="C11" s="4" t="s">
        <v>3</v>
      </c>
      <c r="D11" s="19">
        <v>6</v>
      </c>
    </row>
    <row r="12" spans="1:16" ht="15.75" x14ac:dyDescent="0.25">
      <c r="B12" s="52">
        <v>5</v>
      </c>
      <c r="C12" s="4" t="s">
        <v>4</v>
      </c>
      <c r="D12" s="19">
        <v>6</v>
      </c>
    </row>
    <row r="13" spans="1:16" ht="15.75" x14ac:dyDescent="0.25">
      <c r="B13" s="52">
        <v>6</v>
      </c>
      <c r="C13" s="4" t="s">
        <v>37</v>
      </c>
      <c r="D13" s="6">
        <v>0</v>
      </c>
    </row>
    <row r="14" spans="1:16" ht="15.75" x14ac:dyDescent="0.25">
      <c r="B14" s="52">
        <v>7</v>
      </c>
      <c r="C14" s="4" t="s">
        <v>38</v>
      </c>
      <c r="D14" s="19">
        <v>0</v>
      </c>
    </row>
    <row r="15" spans="1:16" ht="15.75" x14ac:dyDescent="0.25">
      <c r="B15" s="104" t="s">
        <v>23</v>
      </c>
      <c r="C15" s="104"/>
      <c r="D15" s="26">
        <f>SUM(D8+D10+D11+D9+D13+D12)</f>
        <v>997</v>
      </c>
    </row>
    <row r="17" spans="2:7" ht="15.75" x14ac:dyDescent="0.25">
      <c r="B17" s="109" t="s">
        <v>34</v>
      </c>
      <c r="C17" s="110"/>
      <c r="D17" s="23">
        <v>997</v>
      </c>
      <c r="G17" s="22" t="s">
        <v>41</v>
      </c>
    </row>
    <row r="18" spans="2:7" ht="15.75" x14ac:dyDescent="0.25">
      <c r="B18" s="109" t="s">
        <v>35</v>
      </c>
      <c r="C18" s="110"/>
      <c r="D18" s="23">
        <v>6</v>
      </c>
    </row>
    <row r="19" spans="2:7" ht="15.75" x14ac:dyDescent="0.25">
      <c r="B19" s="109" t="s">
        <v>39</v>
      </c>
      <c r="C19" s="110"/>
      <c r="D19" s="23">
        <v>6</v>
      </c>
    </row>
    <row r="20" spans="2:7" ht="15.75" x14ac:dyDescent="0.25">
      <c r="B20" s="109" t="s">
        <v>37</v>
      </c>
      <c r="C20" s="110"/>
      <c r="D20" s="23">
        <v>0</v>
      </c>
    </row>
    <row r="21" spans="2:7" ht="15.75" x14ac:dyDescent="0.25">
      <c r="B21" s="109" t="s">
        <v>38</v>
      </c>
      <c r="C21" s="110"/>
      <c r="D21" s="23">
        <v>0</v>
      </c>
      <c r="G21" s="21" t="s">
        <v>25</v>
      </c>
    </row>
    <row r="22" spans="2:7" ht="15.75" x14ac:dyDescent="0.25">
      <c r="B22" s="109" t="s">
        <v>36</v>
      </c>
      <c r="C22" s="110"/>
      <c r="D22" s="27">
        <f>(D17)-D18</f>
        <v>991</v>
      </c>
    </row>
    <row r="25" spans="2:7" ht="15.75" x14ac:dyDescent="0.25">
      <c r="B25" s="20" t="s">
        <v>24</v>
      </c>
    </row>
    <row r="26" spans="2:7" ht="15.75" x14ac:dyDescent="0.25">
      <c r="B26" s="104" t="s">
        <v>9</v>
      </c>
      <c r="C26" s="104"/>
      <c r="D26" s="104"/>
    </row>
    <row r="27" spans="2:7" ht="15.75" x14ac:dyDescent="0.25">
      <c r="B27" s="51">
        <v>1</v>
      </c>
      <c r="C27" s="10" t="s">
        <v>5</v>
      </c>
      <c r="D27" s="11">
        <v>21</v>
      </c>
    </row>
    <row r="28" spans="2:7" ht="31.5" x14ac:dyDescent="0.25">
      <c r="B28" s="52">
        <v>2</v>
      </c>
      <c r="C28" s="12" t="s">
        <v>31</v>
      </c>
      <c r="D28" s="11">
        <v>728</v>
      </c>
    </row>
    <row r="29" spans="2:7" ht="15.75" x14ac:dyDescent="0.25">
      <c r="B29" s="51">
        <v>3</v>
      </c>
      <c r="C29" s="13" t="s">
        <v>6</v>
      </c>
      <c r="D29" s="14">
        <v>0</v>
      </c>
    </row>
    <row r="30" spans="2:7" ht="15.75" x14ac:dyDescent="0.25">
      <c r="B30" s="51">
        <v>4</v>
      </c>
      <c r="C30" s="10" t="s">
        <v>7</v>
      </c>
      <c r="D30" s="14">
        <v>51</v>
      </c>
    </row>
    <row r="31" spans="2:7" ht="15.75" x14ac:dyDescent="0.25">
      <c r="B31" s="112" t="s">
        <v>23</v>
      </c>
      <c r="C31" s="113"/>
      <c r="D31" s="52">
        <f>SUM(D27:D30)</f>
        <v>800</v>
      </c>
    </row>
    <row r="35" spans="2:13" x14ac:dyDescent="0.25">
      <c r="G35" s="114" t="s">
        <v>42</v>
      </c>
      <c r="H35" s="114"/>
      <c r="I35" s="114"/>
      <c r="J35" s="114"/>
      <c r="K35" s="114"/>
      <c r="L35" s="114"/>
      <c r="M35" s="114"/>
    </row>
    <row r="36" spans="2:13" x14ac:dyDescent="0.25">
      <c r="G36" s="114"/>
      <c r="H36" s="114"/>
      <c r="I36" s="114"/>
      <c r="J36" s="114"/>
      <c r="K36" s="114"/>
      <c r="L36" s="114"/>
      <c r="M36" s="114"/>
    </row>
    <row r="40" spans="2:13" ht="15.75" x14ac:dyDescent="0.25">
      <c r="B40" s="20" t="s">
        <v>26</v>
      </c>
      <c r="C40" s="15"/>
      <c r="D40" s="16"/>
      <c r="G40" s="21" t="s">
        <v>27</v>
      </c>
    </row>
    <row r="41" spans="2:13" ht="15.75" x14ac:dyDescent="0.25">
      <c r="B41" s="111" t="s">
        <v>19</v>
      </c>
      <c r="C41" s="111"/>
      <c r="D41" s="111"/>
    </row>
    <row r="42" spans="2:13" ht="15.75" x14ac:dyDescent="0.25">
      <c r="B42" s="51">
        <v>1</v>
      </c>
      <c r="C42" s="10" t="s">
        <v>10</v>
      </c>
      <c r="D42" s="11">
        <v>31</v>
      </c>
    </row>
    <row r="43" spans="2:13" ht="15.75" x14ac:dyDescent="0.25">
      <c r="B43" s="51">
        <v>2</v>
      </c>
      <c r="C43" s="10" t="s">
        <v>11</v>
      </c>
      <c r="D43" s="11">
        <v>929</v>
      </c>
    </row>
    <row r="44" spans="2:13" ht="15.75" x14ac:dyDescent="0.25">
      <c r="B44" s="51">
        <v>3</v>
      </c>
      <c r="C44" s="10" t="s">
        <v>33</v>
      </c>
      <c r="D44" s="11">
        <v>0</v>
      </c>
    </row>
    <row r="45" spans="2:13" ht="15.75" x14ac:dyDescent="0.25">
      <c r="B45" s="51">
        <v>4</v>
      </c>
      <c r="C45" s="10" t="s">
        <v>32</v>
      </c>
      <c r="D45" s="11">
        <v>37</v>
      </c>
    </row>
    <row r="46" spans="2:13" ht="15.75" x14ac:dyDescent="0.25">
      <c r="B46" s="51">
        <v>5</v>
      </c>
      <c r="C46" s="10" t="s">
        <v>12</v>
      </c>
      <c r="D46" s="11">
        <v>0</v>
      </c>
    </row>
    <row r="47" spans="2:13" ht="15.75" x14ac:dyDescent="0.25">
      <c r="B47" s="104" t="s">
        <v>23</v>
      </c>
      <c r="C47" s="104"/>
      <c r="D47" s="7">
        <f>SUM(D42:D46)</f>
        <v>997</v>
      </c>
    </row>
    <row r="55" spans="2:7" ht="15.75" customHeight="1" x14ac:dyDescent="0.25">
      <c r="B55" s="20" t="s">
        <v>28</v>
      </c>
      <c r="G55" s="22" t="s">
        <v>41</v>
      </c>
    </row>
    <row r="56" spans="2:7" ht="15.75" x14ac:dyDescent="0.25">
      <c r="B56" s="104" t="s">
        <v>13</v>
      </c>
      <c r="C56" s="104"/>
      <c r="D56" s="104"/>
    </row>
    <row r="57" spans="2:7" ht="31.5" x14ac:dyDescent="0.25">
      <c r="B57" s="17">
        <v>1</v>
      </c>
      <c r="C57" s="18" t="s">
        <v>14</v>
      </c>
      <c r="D57" s="19">
        <v>4</v>
      </c>
    </row>
    <row r="58" spans="2:7" ht="31.5" x14ac:dyDescent="0.25">
      <c r="B58" s="17">
        <v>2</v>
      </c>
      <c r="C58" s="18" t="s">
        <v>15</v>
      </c>
      <c r="D58" s="19">
        <v>796</v>
      </c>
      <c r="G58" s="21" t="s">
        <v>29</v>
      </c>
    </row>
    <row r="59" spans="2:7" ht="31.5" x14ac:dyDescent="0.25">
      <c r="B59" s="17">
        <v>3</v>
      </c>
      <c r="C59" s="18" t="s">
        <v>16</v>
      </c>
      <c r="D59" s="19">
        <v>323</v>
      </c>
    </row>
    <row r="60" spans="2:7" ht="31.5" x14ac:dyDescent="0.25">
      <c r="B60" s="17">
        <v>4</v>
      </c>
      <c r="C60" s="18" t="s">
        <v>17</v>
      </c>
      <c r="D60" s="19">
        <v>0</v>
      </c>
    </row>
    <row r="61" spans="2:7" ht="31.5" x14ac:dyDescent="0.25">
      <c r="B61" s="17">
        <v>5</v>
      </c>
      <c r="C61" s="18" t="s">
        <v>18</v>
      </c>
      <c r="D61" s="19">
        <v>0</v>
      </c>
    </row>
    <row r="62" spans="2:7" ht="15.75" x14ac:dyDescent="0.25">
      <c r="B62" s="30"/>
      <c r="C62" s="31"/>
      <c r="D62" s="32"/>
    </row>
    <row r="63" spans="2:7" ht="15.75" x14ac:dyDescent="0.25">
      <c r="B63" s="30"/>
      <c r="C63" s="31"/>
      <c r="D63" s="32"/>
    </row>
    <row r="64" spans="2:7" x14ac:dyDescent="0.25">
      <c r="G64" s="22" t="s">
        <v>22</v>
      </c>
    </row>
    <row r="68" spans="7:13" x14ac:dyDescent="0.25">
      <c r="G68" s="114" t="s">
        <v>40</v>
      </c>
      <c r="H68" s="114"/>
      <c r="I68" s="114"/>
      <c r="J68" s="114"/>
      <c r="K68" s="114"/>
      <c r="L68" s="114"/>
      <c r="M68" s="114"/>
    </row>
    <row r="69" spans="7:13" ht="33" customHeight="1" x14ac:dyDescent="0.25">
      <c r="G69" s="114"/>
      <c r="H69" s="114"/>
      <c r="I69" s="114"/>
      <c r="J69" s="114"/>
      <c r="K69" s="114"/>
      <c r="L69" s="114"/>
      <c r="M69" s="114"/>
    </row>
  </sheetData>
  <mergeCells count="18">
    <mergeCell ref="G68:M69"/>
    <mergeCell ref="B56:D56"/>
    <mergeCell ref="B7:D7"/>
    <mergeCell ref="B15:C15"/>
    <mergeCell ref="B31:C31"/>
    <mergeCell ref="B47:C47"/>
    <mergeCell ref="B41:D41"/>
    <mergeCell ref="G35:M36"/>
    <mergeCell ref="B26:D26"/>
    <mergeCell ref="B1:N1"/>
    <mergeCell ref="B2:N2"/>
    <mergeCell ref="B4:N4"/>
    <mergeCell ref="B22:C22"/>
    <mergeCell ref="B21:C21"/>
    <mergeCell ref="B18:C18"/>
    <mergeCell ref="B17:C17"/>
    <mergeCell ref="B19:C19"/>
    <mergeCell ref="B20:C20"/>
  </mergeCells>
  <pageMargins left="0.7" right="0.7" top="0.75" bottom="0.75" header="0.3" footer="0.3"/>
  <pageSetup scale="68" fitToHeight="0" orientation="landscape" horizontalDpi="4294967292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9"/>
  <sheetViews>
    <sheetView workbookViewId="0">
      <selection activeCell="U8" sqref="U8"/>
    </sheetView>
  </sheetViews>
  <sheetFormatPr baseColWidth="10" defaultRowHeight="15" x14ac:dyDescent="0.25"/>
  <cols>
    <col min="1" max="2" width="11.42578125" style="2"/>
    <col min="3" max="3" width="17.140625" style="2" customWidth="1"/>
    <col min="4" max="4" width="14.85546875" style="2" bestFit="1" customWidth="1"/>
    <col min="5" max="16384" width="11.42578125" style="2"/>
  </cols>
  <sheetData>
    <row r="1" spans="1:16" ht="133.5" customHeight="1" x14ac:dyDescent="0.25">
      <c r="A1" s="28"/>
      <c r="B1" s="105" t="s">
        <v>60</v>
      </c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29"/>
      <c r="P1" s="1"/>
    </row>
    <row r="2" spans="1:16" ht="23.25" x14ac:dyDescent="0.35">
      <c r="A2" s="28"/>
      <c r="B2" s="106" t="s">
        <v>0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28"/>
    </row>
    <row r="4" spans="1:16" ht="23.25" x14ac:dyDescent="0.35">
      <c r="B4" s="108" t="s">
        <v>59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</row>
    <row r="5" spans="1:16" ht="23.25" x14ac:dyDescent="0.35">
      <c r="B5" s="55"/>
      <c r="C5" s="55"/>
      <c r="D5" s="55"/>
      <c r="E5" s="55"/>
      <c r="F5" s="55"/>
      <c r="G5" s="21" t="s">
        <v>21</v>
      </c>
      <c r="H5" s="55"/>
      <c r="I5" s="55"/>
      <c r="J5" s="55"/>
      <c r="K5" s="55"/>
      <c r="L5" s="55"/>
      <c r="M5" s="55"/>
      <c r="N5" s="55"/>
    </row>
    <row r="6" spans="1:16" ht="23.25" x14ac:dyDescent="0.35">
      <c r="B6" s="20" t="s">
        <v>20</v>
      </c>
      <c r="E6" s="55"/>
      <c r="F6" s="55"/>
      <c r="G6" s="55"/>
      <c r="H6" s="55"/>
      <c r="I6" s="55"/>
      <c r="J6" s="55"/>
      <c r="K6" s="55"/>
      <c r="L6" s="55"/>
      <c r="M6" s="55"/>
      <c r="N6" s="55"/>
    </row>
    <row r="7" spans="1:16" ht="23.25" x14ac:dyDescent="0.35">
      <c r="B7" s="111" t="s">
        <v>8</v>
      </c>
      <c r="C7" s="111"/>
      <c r="D7" s="111"/>
      <c r="E7" s="55"/>
      <c r="F7" s="55"/>
      <c r="G7" s="55"/>
      <c r="H7" s="55"/>
      <c r="I7" s="55"/>
      <c r="J7" s="55"/>
      <c r="K7" s="55"/>
      <c r="L7" s="55"/>
      <c r="M7" s="55"/>
      <c r="N7" s="55"/>
    </row>
    <row r="8" spans="1:16" ht="23.25" x14ac:dyDescent="0.35">
      <c r="B8" s="56">
        <v>1</v>
      </c>
      <c r="C8" s="4" t="s">
        <v>1</v>
      </c>
      <c r="D8" s="19">
        <v>333</v>
      </c>
      <c r="E8" s="55"/>
      <c r="F8" s="55"/>
      <c r="G8" s="55"/>
      <c r="H8" s="55"/>
      <c r="I8" s="55"/>
      <c r="J8" s="55"/>
      <c r="K8" s="55"/>
      <c r="L8" s="55"/>
      <c r="M8" s="55"/>
      <c r="N8" s="55"/>
    </row>
    <row r="9" spans="1:16" ht="15.75" x14ac:dyDescent="0.25">
      <c r="B9" s="56">
        <v>2</v>
      </c>
      <c r="C9" s="5" t="s">
        <v>30</v>
      </c>
      <c r="D9" s="19">
        <v>308</v>
      </c>
    </row>
    <row r="10" spans="1:16" ht="15.75" x14ac:dyDescent="0.25">
      <c r="B10" s="56">
        <v>3</v>
      </c>
      <c r="C10" s="5" t="s">
        <v>2</v>
      </c>
      <c r="D10" s="19">
        <v>193</v>
      </c>
    </row>
    <row r="11" spans="1:16" ht="31.5" x14ac:dyDescent="0.25">
      <c r="B11" s="56">
        <v>4</v>
      </c>
      <c r="C11" s="4" t="s">
        <v>3</v>
      </c>
      <c r="D11" s="19">
        <v>14</v>
      </c>
    </row>
    <row r="12" spans="1:16" ht="15.75" x14ac:dyDescent="0.25">
      <c r="B12" s="56">
        <v>5</v>
      </c>
      <c r="C12" s="4" t="s">
        <v>4</v>
      </c>
      <c r="D12" s="19">
        <v>12</v>
      </c>
    </row>
    <row r="13" spans="1:16" ht="15.75" x14ac:dyDescent="0.25">
      <c r="B13" s="56">
        <v>6</v>
      </c>
      <c r="C13" s="4" t="s">
        <v>37</v>
      </c>
      <c r="D13" s="6">
        <v>0</v>
      </c>
    </row>
    <row r="14" spans="1:16" ht="15.75" x14ac:dyDescent="0.25">
      <c r="B14" s="56">
        <v>7</v>
      </c>
      <c r="C14" s="4" t="s">
        <v>38</v>
      </c>
      <c r="D14" s="19">
        <v>0</v>
      </c>
    </row>
    <row r="15" spans="1:16" ht="15.75" x14ac:dyDescent="0.25">
      <c r="B15" s="104" t="s">
        <v>23</v>
      </c>
      <c r="C15" s="104"/>
      <c r="D15" s="26">
        <f>SUM(D8+D10+D11+D9+D13+D12)</f>
        <v>860</v>
      </c>
    </row>
    <row r="17" spans="2:7" ht="15.75" x14ac:dyDescent="0.25">
      <c r="B17" s="109" t="s">
        <v>34</v>
      </c>
      <c r="C17" s="110"/>
      <c r="D17" s="23">
        <v>860</v>
      </c>
      <c r="G17" s="22" t="s">
        <v>41</v>
      </c>
    </row>
    <row r="18" spans="2:7" ht="15.75" x14ac:dyDescent="0.25">
      <c r="B18" s="109" t="s">
        <v>35</v>
      </c>
      <c r="C18" s="110"/>
      <c r="D18" s="23">
        <v>14</v>
      </c>
    </row>
    <row r="19" spans="2:7" ht="15.75" x14ac:dyDescent="0.25">
      <c r="B19" s="109" t="s">
        <v>39</v>
      </c>
      <c r="C19" s="110"/>
      <c r="D19" s="23">
        <v>12</v>
      </c>
    </row>
    <row r="20" spans="2:7" ht="15.75" x14ac:dyDescent="0.25">
      <c r="B20" s="109" t="s">
        <v>37</v>
      </c>
      <c r="C20" s="110"/>
      <c r="D20" s="23">
        <v>0</v>
      </c>
    </row>
    <row r="21" spans="2:7" ht="15.75" x14ac:dyDescent="0.25">
      <c r="B21" s="109" t="s">
        <v>38</v>
      </c>
      <c r="C21" s="110"/>
      <c r="D21" s="23">
        <v>0</v>
      </c>
      <c r="G21" s="21" t="s">
        <v>25</v>
      </c>
    </row>
    <row r="22" spans="2:7" ht="15.75" x14ac:dyDescent="0.25">
      <c r="B22" s="109" t="s">
        <v>36</v>
      </c>
      <c r="C22" s="110"/>
      <c r="D22" s="27">
        <f>(D17)-D18</f>
        <v>846</v>
      </c>
    </row>
    <row r="25" spans="2:7" ht="15.75" x14ac:dyDescent="0.25">
      <c r="B25" s="20" t="s">
        <v>24</v>
      </c>
    </row>
    <row r="26" spans="2:7" ht="15.75" x14ac:dyDescent="0.25">
      <c r="B26" s="104" t="s">
        <v>9</v>
      </c>
      <c r="C26" s="104"/>
      <c r="D26" s="104"/>
    </row>
    <row r="27" spans="2:7" ht="15.75" x14ac:dyDescent="0.25">
      <c r="B27" s="54">
        <v>1</v>
      </c>
      <c r="C27" s="10" t="s">
        <v>5</v>
      </c>
      <c r="D27" s="11">
        <v>15</v>
      </c>
    </row>
    <row r="28" spans="2:7" ht="31.5" x14ac:dyDescent="0.25">
      <c r="B28" s="56">
        <v>2</v>
      </c>
      <c r="C28" s="12" t="s">
        <v>31</v>
      </c>
      <c r="D28" s="11">
        <v>608</v>
      </c>
    </row>
    <row r="29" spans="2:7" ht="15.75" x14ac:dyDescent="0.25">
      <c r="B29" s="54">
        <v>3</v>
      </c>
      <c r="C29" s="13" t="s">
        <v>6</v>
      </c>
      <c r="D29" s="14">
        <v>1</v>
      </c>
    </row>
    <row r="30" spans="2:7" ht="15.75" x14ac:dyDescent="0.25">
      <c r="B30" s="54">
        <v>4</v>
      </c>
      <c r="C30" s="10" t="s">
        <v>7</v>
      </c>
      <c r="D30" s="14">
        <v>17</v>
      </c>
    </row>
    <row r="31" spans="2:7" ht="15.75" x14ac:dyDescent="0.25">
      <c r="B31" s="112" t="s">
        <v>23</v>
      </c>
      <c r="C31" s="113"/>
      <c r="D31" s="56">
        <f>SUM(D27:D30)</f>
        <v>641</v>
      </c>
    </row>
    <row r="35" spans="2:13" x14ac:dyDescent="0.25">
      <c r="G35" s="114" t="s">
        <v>42</v>
      </c>
      <c r="H35" s="114"/>
      <c r="I35" s="114"/>
      <c r="J35" s="114"/>
      <c r="K35" s="114"/>
      <c r="L35" s="114"/>
      <c r="M35" s="114"/>
    </row>
    <row r="36" spans="2:13" x14ac:dyDescent="0.25">
      <c r="G36" s="114"/>
      <c r="H36" s="114"/>
      <c r="I36" s="114"/>
      <c r="J36" s="114"/>
      <c r="K36" s="114"/>
      <c r="L36" s="114"/>
      <c r="M36" s="114"/>
    </row>
    <row r="40" spans="2:13" ht="15.75" x14ac:dyDescent="0.25">
      <c r="B40" s="20" t="s">
        <v>26</v>
      </c>
      <c r="C40" s="15"/>
      <c r="D40" s="16"/>
      <c r="G40" s="21" t="s">
        <v>27</v>
      </c>
    </row>
    <row r="41" spans="2:13" ht="15.75" x14ac:dyDescent="0.25">
      <c r="B41" s="111" t="s">
        <v>19</v>
      </c>
      <c r="C41" s="111"/>
      <c r="D41" s="111"/>
    </row>
    <row r="42" spans="2:13" ht="15.75" x14ac:dyDescent="0.25">
      <c r="B42" s="54">
        <v>1</v>
      </c>
      <c r="C42" s="10" t="s">
        <v>10</v>
      </c>
      <c r="D42" s="11">
        <v>22</v>
      </c>
    </row>
    <row r="43" spans="2:13" ht="15.75" x14ac:dyDescent="0.25">
      <c r="B43" s="54">
        <v>2</v>
      </c>
      <c r="C43" s="10" t="s">
        <v>11</v>
      </c>
      <c r="D43" s="11">
        <v>803</v>
      </c>
    </row>
    <row r="44" spans="2:13" ht="15.75" x14ac:dyDescent="0.25">
      <c r="B44" s="54">
        <v>3</v>
      </c>
      <c r="C44" s="10" t="s">
        <v>33</v>
      </c>
      <c r="D44" s="11">
        <v>0</v>
      </c>
    </row>
    <row r="45" spans="2:13" ht="15.75" x14ac:dyDescent="0.25">
      <c r="B45" s="54">
        <v>4</v>
      </c>
      <c r="C45" s="10" t="s">
        <v>32</v>
      </c>
      <c r="D45" s="11">
        <v>35</v>
      </c>
    </row>
    <row r="46" spans="2:13" ht="15.75" x14ac:dyDescent="0.25">
      <c r="B46" s="54">
        <v>5</v>
      </c>
      <c r="C46" s="10" t="s">
        <v>12</v>
      </c>
      <c r="D46" s="11">
        <v>0</v>
      </c>
    </row>
    <row r="47" spans="2:13" ht="15.75" x14ac:dyDescent="0.25">
      <c r="B47" s="104" t="s">
        <v>23</v>
      </c>
      <c r="C47" s="104"/>
      <c r="D47" s="7">
        <f>SUM(D42:D46)</f>
        <v>860</v>
      </c>
    </row>
    <row r="55" spans="2:7" ht="15.75" customHeight="1" x14ac:dyDescent="0.25">
      <c r="B55" s="20" t="s">
        <v>28</v>
      </c>
      <c r="G55" s="22" t="s">
        <v>41</v>
      </c>
    </row>
    <row r="56" spans="2:7" ht="15.75" x14ac:dyDescent="0.25">
      <c r="B56" s="104" t="s">
        <v>13</v>
      </c>
      <c r="C56" s="104"/>
      <c r="D56" s="104"/>
    </row>
    <row r="57" spans="2:7" ht="31.5" x14ac:dyDescent="0.25">
      <c r="B57" s="17">
        <v>1</v>
      </c>
      <c r="C57" s="18" t="s">
        <v>14</v>
      </c>
      <c r="D57" s="19">
        <v>0</v>
      </c>
    </row>
    <row r="58" spans="2:7" ht="31.5" x14ac:dyDescent="0.25">
      <c r="B58" s="17">
        <v>2</v>
      </c>
      <c r="C58" s="18" t="s">
        <v>15</v>
      </c>
      <c r="D58" s="19">
        <v>641</v>
      </c>
      <c r="G58" s="21" t="s">
        <v>29</v>
      </c>
    </row>
    <row r="59" spans="2:7" ht="31.5" x14ac:dyDescent="0.25">
      <c r="B59" s="17">
        <v>3</v>
      </c>
      <c r="C59" s="18" t="s">
        <v>16</v>
      </c>
      <c r="D59" s="19">
        <v>301</v>
      </c>
    </row>
    <row r="60" spans="2:7" ht="31.5" x14ac:dyDescent="0.25">
      <c r="B60" s="17">
        <v>4</v>
      </c>
      <c r="C60" s="18" t="s">
        <v>17</v>
      </c>
      <c r="D60" s="19">
        <v>0</v>
      </c>
    </row>
    <row r="61" spans="2:7" ht="31.5" x14ac:dyDescent="0.25">
      <c r="B61" s="17">
        <v>5</v>
      </c>
      <c r="C61" s="18" t="s">
        <v>18</v>
      </c>
      <c r="D61" s="19">
        <v>0</v>
      </c>
    </row>
    <row r="62" spans="2:7" ht="15.75" x14ac:dyDescent="0.25">
      <c r="B62" s="30"/>
      <c r="C62" s="31"/>
      <c r="D62" s="32"/>
    </row>
    <row r="63" spans="2:7" ht="15.75" x14ac:dyDescent="0.25">
      <c r="B63" s="30"/>
      <c r="C63" s="31"/>
      <c r="D63" s="32"/>
    </row>
    <row r="64" spans="2:7" x14ac:dyDescent="0.25">
      <c r="G64" s="22" t="s">
        <v>22</v>
      </c>
    </row>
    <row r="68" spans="7:13" x14ac:dyDescent="0.25">
      <c r="G68" s="114" t="s">
        <v>40</v>
      </c>
      <c r="H68" s="114"/>
      <c r="I68" s="114"/>
      <c r="J68" s="114"/>
      <c r="K68" s="114"/>
      <c r="L68" s="114"/>
      <c r="M68" s="114"/>
    </row>
    <row r="69" spans="7:13" ht="33" customHeight="1" x14ac:dyDescent="0.25">
      <c r="G69" s="114"/>
      <c r="H69" s="114"/>
      <c r="I69" s="114"/>
      <c r="J69" s="114"/>
      <c r="K69" s="114"/>
      <c r="L69" s="114"/>
      <c r="M69" s="114"/>
    </row>
  </sheetData>
  <mergeCells count="18">
    <mergeCell ref="B31:C31"/>
    <mergeCell ref="B47:C47"/>
    <mergeCell ref="B41:D41"/>
    <mergeCell ref="G35:M36"/>
    <mergeCell ref="G68:M69"/>
    <mergeCell ref="B56:D56"/>
    <mergeCell ref="B7:D7"/>
    <mergeCell ref="B15:C15"/>
    <mergeCell ref="B26:D26"/>
    <mergeCell ref="B1:N1"/>
    <mergeCell ref="B2:N2"/>
    <mergeCell ref="B4:N4"/>
    <mergeCell ref="B22:C22"/>
    <mergeCell ref="B21:C21"/>
    <mergeCell ref="B18:C18"/>
    <mergeCell ref="B17:C17"/>
    <mergeCell ref="B19:C19"/>
    <mergeCell ref="B20:C20"/>
  </mergeCells>
  <pageMargins left="0.7" right="0.7" top="0.75" bottom="0.75" header="0.3" footer="0.3"/>
  <pageSetup scale="68" fitToHeight="0" orientation="landscape" horizontalDpi="4294967292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69"/>
  <sheetViews>
    <sheetView workbookViewId="0">
      <selection activeCell="E8" sqref="E8"/>
    </sheetView>
  </sheetViews>
  <sheetFormatPr baseColWidth="10" defaultRowHeight="15" x14ac:dyDescent="0.25"/>
  <cols>
    <col min="1" max="1" width="11.42578125" style="78"/>
    <col min="2" max="2" width="12" style="78" customWidth="1"/>
    <col min="3" max="3" width="19.85546875" style="78" customWidth="1"/>
    <col min="4" max="4" width="14.85546875" style="78" bestFit="1" customWidth="1"/>
    <col min="5" max="16384" width="11.42578125" style="78"/>
  </cols>
  <sheetData>
    <row r="1" spans="1:17" s="58" customFormat="1" ht="90.75" customHeight="1" x14ac:dyDescent="0.25">
      <c r="A1" s="117"/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57"/>
      <c r="O1" s="57"/>
      <c r="P1" s="57"/>
      <c r="Q1" s="57"/>
    </row>
    <row r="2" spans="1:17" s="58" customFormat="1" ht="15.75" x14ac:dyDescent="0.25">
      <c r="A2" s="119" t="s">
        <v>61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57"/>
      <c r="O2" s="57"/>
      <c r="P2" s="57"/>
      <c r="Q2" s="57"/>
    </row>
    <row r="3" spans="1:17" s="58" customFormat="1" ht="15.75" x14ac:dyDescent="0.25">
      <c r="A3" s="57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</row>
    <row r="4" spans="1:17" s="58" customFormat="1" ht="15.75" x14ac:dyDescent="0.25">
      <c r="A4" s="57"/>
      <c r="B4" s="119" t="s">
        <v>63</v>
      </c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</row>
    <row r="5" spans="1:17" ht="23.25" x14ac:dyDescent="0.35">
      <c r="B5" s="79"/>
      <c r="C5" s="79"/>
      <c r="D5" s="79"/>
      <c r="E5" s="79"/>
      <c r="F5" s="79"/>
      <c r="G5" s="80" t="s">
        <v>65</v>
      </c>
      <c r="H5" s="79"/>
      <c r="I5" s="79"/>
      <c r="J5" s="79"/>
      <c r="K5" s="79"/>
      <c r="L5" s="79"/>
      <c r="M5" s="79"/>
      <c r="N5" s="79"/>
    </row>
    <row r="6" spans="1:17" ht="23.25" x14ac:dyDescent="0.35">
      <c r="B6" s="81" t="s">
        <v>64</v>
      </c>
      <c r="E6" s="79"/>
      <c r="F6" s="79"/>
      <c r="G6" s="79"/>
      <c r="H6" s="79"/>
      <c r="I6" s="79"/>
      <c r="J6" s="79"/>
      <c r="K6" s="79"/>
      <c r="L6" s="79"/>
      <c r="M6" s="79"/>
      <c r="N6" s="79"/>
    </row>
    <row r="7" spans="1:17" ht="23.25" x14ac:dyDescent="0.35">
      <c r="B7" s="122" t="s">
        <v>8</v>
      </c>
      <c r="C7" s="122"/>
      <c r="D7" s="122"/>
      <c r="E7" s="79"/>
      <c r="F7" s="79"/>
      <c r="G7" s="79"/>
      <c r="H7" s="79"/>
      <c r="I7" s="79"/>
      <c r="J7" s="79"/>
      <c r="K7" s="79"/>
      <c r="L7" s="79"/>
      <c r="M7" s="79"/>
      <c r="N7" s="79"/>
    </row>
    <row r="8" spans="1:17" ht="23.25" x14ac:dyDescent="0.35">
      <c r="B8" s="82">
        <v>1</v>
      </c>
      <c r="C8" s="83" t="s">
        <v>1</v>
      </c>
      <c r="D8" s="84">
        <v>377</v>
      </c>
      <c r="E8" s="79"/>
      <c r="F8" s="79"/>
      <c r="G8" s="79"/>
      <c r="H8" s="79"/>
      <c r="I8" s="79"/>
      <c r="J8" s="79"/>
      <c r="K8" s="79"/>
      <c r="L8" s="79"/>
      <c r="M8" s="79"/>
      <c r="N8" s="79"/>
    </row>
    <row r="9" spans="1:17" ht="15.75" x14ac:dyDescent="0.25">
      <c r="B9" s="82">
        <v>2</v>
      </c>
      <c r="C9" s="85" t="s">
        <v>30</v>
      </c>
      <c r="D9" s="84">
        <v>446</v>
      </c>
    </row>
    <row r="10" spans="1:17" ht="15.75" x14ac:dyDescent="0.25">
      <c r="B10" s="82">
        <v>3</v>
      </c>
      <c r="C10" s="85" t="s">
        <v>2</v>
      </c>
      <c r="D10" s="84">
        <v>212</v>
      </c>
    </row>
    <row r="11" spans="1:17" ht="31.5" x14ac:dyDescent="0.25">
      <c r="B11" s="82">
        <v>4</v>
      </c>
      <c r="C11" s="83" t="s">
        <v>3</v>
      </c>
      <c r="D11" s="84">
        <v>14</v>
      </c>
    </row>
    <row r="12" spans="1:17" ht="15.75" x14ac:dyDescent="0.25">
      <c r="B12" s="82">
        <v>5</v>
      </c>
      <c r="C12" s="83" t="s">
        <v>4</v>
      </c>
      <c r="D12" s="84">
        <v>11</v>
      </c>
    </row>
    <row r="13" spans="1:17" ht="15.75" x14ac:dyDescent="0.25">
      <c r="B13" s="82">
        <v>6</v>
      </c>
      <c r="C13" s="83" t="s">
        <v>37</v>
      </c>
      <c r="D13" s="86">
        <v>0</v>
      </c>
    </row>
    <row r="14" spans="1:17" ht="15.75" x14ac:dyDescent="0.25">
      <c r="B14" s="82">
        <v>7</v>
      </c>
      <c r="C14" s="83" t="s">
        <v>38</v>
      </c>
      <c r="D14" s="84">
        <v>0</v>
      </c>
    </row>
    <row r="15" spans="1:17" ht="15.75" x14ac:dyDescent="0.25">
      <c r="B15" s="123" t="s">
        <v>23</v>
      </c>
      <c r="C15" s="123"/>
      <c r="D15" s="87">
        <f>SUM(D8+D10+D11+D9+D13+D12)</f>
        <v>1060</v>
      </c>
    </row>
    <row r="17" spans="2:7" ht="15.75" x14ac:dyDescent="0.25">
      <c r="B17" s="115" t="s">
        <v>34</v>
      </c>
      <c r="C17" s="116"/>
      <c r="D17" s="88">
        <v>1060</v>
      </c>
      <c r="G17" s="78" t="s">
        <v>41</v>
      </c>
    </row>
    <row r="18" spans="2:7" ht="15.75" x14ac:dyDescent="0.25">
      <c r="B18" s="115" t="s">
        <v>35</v>
      </c>
      <c r="C18" s="116"/>
      <c r="D18" s="88">
        <v>14</v>
      </c>
    </row>
    <row r="19" spans="2:7" ht="15.75" x14ac:dyDescent="0.25">
      <c r="B19" s="115" t="s">
        <v>39</v>
      </c>
      <c r="C19" s="116"/>
      <c r="D19" s="88">
        <v>11</v>
      </c>
    </row>
    <row r="20" spans="2:7" ht="15.75" x14ac:dyDescent="0.25">
      <c r="B20" s="115" t="s">
        <v>37</v>
      </c>
      <c r="C20" s="116"/>
      <c r="D20" s="88">
        <v>0</v>
      </c>
    </row>
    <row r="21" spans="2:7" ht="15.75" x14ac:dyDescent="0.25">
      <c r="B21" s="115" t="s">
        <v>38</v>
      </c>
      <c r="C21" s="116"/>
      <c r="D21" s="88">
        <v>0</v>
      </c>
      <c r="G21" s="80" t="s">
        <v>67</v>
      </c>
    </row>
    <row r="22" spans="2:7" ht="15.75" x14ac:dyDescent="0.25">
      <c r="B22" s="115" t="s">
        <v>36</v>
      </c>
      <c r="C22" s="116"/>
      <c r="D22" s="89">
        <f>(D17)-D18</f>
        <v>1046</v>
      </c>
    </row>
    <row r="25" spans="2:7" ht="15.75" x14ac:dyDescent="0.25">
      <c r="B25" s="81" t="s">
        <v>66</v>
      </c>
    </row>
    <row r="26" spans="2:7" ht="15.75" x14ac:dyDescent="0.25">
      <c r="B26" s="121" t="s">
        <v>9</v>
      </c>
      <c r="C26" s="121"/>
      <c r="D26" s="121"/>
    </row>
    <row r="27" spans="2:7" ht="15.75" x14ac:dyDescent="0.25">
      <c r="B27" s="90">
        <v>1</v>
      </c>
      <c r="C27" s="91" t="s">
        <v>5</v>
      </c>
      <c r="D27" s="92">
        <v>73</v>
      </c>
    </row>
    <row r="28" spans="2:7" ht="31.5" x14ac:dyDescent="0.25">
      <c r="B28" s="82">
        <v>2</v>
      </c>
      <c r="C28" s="93" t="s">
        <v>31</v>
      </c>
      <c r="D28" s="92">
        <v>751</v>
      </c>
    </row>
    <row r="29" spans="2:7" ht="15.75" x14ac:dyDescent="0.25">
      <c r="B29" s="90">
        <v>3</v>
      </c>
      <c r="C29" s="94" t="s">
        <v>6</v>
      </c>
      <c r="D29" s="95">
        <v>1</v>
      </c>
    </row>
    <row r="30" spans="2:7" ht="15.75" x14ac:dyDescent="0.25">
      <c r="B30" s="90">
        <v>4</v>
      </c>
      <c r="C30" s="91" t="s">
        <v>7</v>
      </c>
      <c r="D30" s="95">
        <v>23</v>
      </c>
    </row>
    <row r="31" spans="2:7" ht="15.75" x14ac:dyDescent="0.25">
      <c r="B31" s="124" t="s">
        <v>23</v>
      </c>
      <c r="C31" s="125"/>
      <c r="D31" s="82">
        <f>SUM(D27:D30)</f>
        <v>848</v>
      </c>
    </row>
    <row r="35" spans="2:13" x14ac:dyDescent="0.25">
      <c r="G35" s="120" t="s">
        <v>42</v>
      </c>
      <c r="H35" s="120"/>
      <c r="I35" s="120"/>
      <c r="J35" s="120"/>
      <c r="K35" s="120"/>
      <c r="L35" s="120"/>
      <c r="M35" s="120"/>
    </row>
    <row r="36" spans="2:13" x14ac:dyDescent="0.25">
      <c r="G36" s="120"/>
      <c r="H36" s="120"/>
      <c r="I36" s="120"/>
      <c r="J36" s="120"/>
      <c r="K36" s="120"/>
      <c r="L36" s="120"/>
      <c r="M36" s="120"/>
    </row>
    <row r="40" spans="2:13" ht="15.75" x14ac:dyDescent="0.25">
      <c r="B40" s="81" t="s">
        <v>68</v>
      </c>
      <c r="C40" s="96"/>
      <c r="D40" s="97"/>
      <c r="G40" s="80" t="s">
        <v>69</v>
      </c>
    </row>
    <row r="41" spans="2:13" ht="15.75" x14ac:dyDescent="0.25">
      <c r="B41" s="122" t="s">
        <v>19</v>
      </c>
      <c r="C41" s="122"/>
      <c r="D41" s="122"/>
    </row>
    <row r="42" spans="2:13" ht="15.75" x14ac:dyDescent="0.25">
      <c r="B42" s="90">
        <v>1</v>
      </c>
      <c r="C42" s="91" t="s">
        <v>10</v>
      </c>
      <c r="D42" s="92">
        <v>24</v>
      </c>
    </row>
    <row r="43" spans="2:13" ht="15.75" x14ac:dyDescent="0.25">
      <c r="B43" s="90">
        <v>2</v>
      </c>
      <c r="C43" s="91" t="s">
        <v>11</v>
      </c>
      <c r="D43" s="92">
        <v>946</v>
      </c>
    </row>
    <row r="44" spans="2:13" ht="15.75" x14ac:dyDescent="0.25">
      <c r="B44" s="90">
        <v>3</v>
      </c>
      <c r="C44" s="91" t="s">
        <v>33</v>
      </c>
      <c r="D44" s="92">
        <v>0</v>
      </c>
    </row>
    <row r="45" spans="2:13" ht="15.75" x14ac:dyDescent="0.25">
      <c r="B45" s="90">
        <v>4</v>
      </c>
      <c r="C45" s="91" t="s">
        <v>32</v>
      </c>
      <c r="D45" s="92">
        <v>90</v>
      </c>
    </row>
    <row r="46" spans="2:13" ht="15.75" x14ac:dyDescent="0.25">
      <c r="B46" s="90">
        <v>5</v>
      </c>
      <c r="C46" s="91" t="s">
        <v>12</v>
      </c>
      <c r="D46" s="92">
        <v>0</v>
      </c>
    </row>
    <row r="47" spans="2:13" ht="15.75" x14ac:dyDescent="0.25">
      <c r="B47" s="123" t="s">
        <v>23</v>
      </c>
      <c r="C47" s="123"/>
      <c r="D47" s="98">
        <f>SUM(D42:D46)</f>
        <v>1060</v>
      </c>
    </row>
    <row r="55" spans="2:7" ht="15.75" customHeight="1" x14ac:dyDescent="0.25">
      <c r="B55" s="81" t="s">
        <v>28</v>
      </c>
      <c r="G55" s="78" t="s">
        <v>41</v>
      </c>
    </row>
    <row r="56" spans="2:7" ht="15.75" x14ac:dyDescent="0.25">
      <c r="B56" s="121" t="s">
        <v>13</v>
      </c>
      <c r="C56" s="121"/>
      <c r="D56" s="121"/>
    </row>
    <row r="57" spans="2:7" ht="31.5" x14ac:dyDescent="0.25">
      <c r="B57" s="99">
        <v>1</v>
      </c>
      <c r="C57" s="100" t="s">
        <v>14</v>
      </c>
      <c r="D57" s="84">
        <v>1</v>
      </c>
    </row>
    <row r="58" spans="2:7" ht="31.5" x14ac:dyDescent="0.25">
      <c r="B58" s="99">
        <v>2</v>
      </c>
      <c r="C58" s="100" t="s">
        <v>15</v>
      </c>
      <c r="D58" s="84">
        <v>821</v>
      </c>
      <c r="G58" s="80" t="s">
        <v>29</v>
      </c>
    </row>
    <row r="59" spans="2:7" ht="31.5" x14ac:dyDescent="0.25">
      <c r="B59" s="99">
        <v>3</v>
      </c>
      <c r="C59" s="100" t="s">
        <v>16</v>
      </c>
      <c r="D59" s="84">
        <v>321</v>
      </c>
    </row>
    <row r="60" spans="2:7" ht="31.5" x14ac:dyDescent="0.25">
      <c r="B60" s="99">
        <v>4</v>
      </c>
      <c r="C60" s="100" t="s">
        <v>17</v>
      </c>
      <c r="D60" s="84">
        <v>0</v>
      </c>
    </row>
    <row r="61" spans="2:7" ht="31.5" x14ac:dyDescent="0.25">
      <c r="B61" s="99">
        <v>5</v>
      </c>
      <c r="C61" s="100" t="s">
        <v>18</v>
      </c>
      <c r="D61" s="84">
        <v>0</v>
      </c>
    </row>
    <row r="62" spans="2:7" ht="15.75" x14ac:dyDescent="0.25">
      <c r="B62" s="101"/>
      <c r="C62" s="102"/>
      <c r="D62" s="103"/>
    </row>
    <row r="63" spans="2:7" ht="15.75" x14ac:dyDescent="0.25">
      <c r="B63" s="101"/>
      <c r="C63" s="102"/>
      <c r="D63" s="103"/>
    </row>
    <row r="64" spans="2:7" x14ac:dyDescent="0.25">
      <c r="G64" s="78" t="s">
        <v>22</v>
      </c>
    </row>
    <row r="68" spans="7:13" x14ac:dyDescent="0.25">
      <c r="G68" s="120" t="s">
        <v>40</v>
      </c>
      <c r="H68" s="120"/>
      <c r="I68" s="120"/>
      <c r="J68" s="120"/>
      <c r="K68" s="120"/>
      <c r="L68" s="120"/>
      <c r="M68" s="120"/>
    </row>
    <row r="69" spans="7:13" ht="33" customHeight="1" x14ac:dyDescent="0.25">
      <c r="G69" s="120"/>
      <c r="H69" s="120"/>
      <c r="I69" s="120"/>
      <c r="J69" s="120"/>
      <c r="K69" s="120"/>
      <c r="L69" s="120"/>
      <c r="M69" s="120"/>
    </row>
  </sheetData>
  <mergeCells count="18">
    <mergeCell ref="B18:C18"/>
    <mergeCell ref="B17:C17"/>
    <mergeCell ref="B19:C19"/>
    <mergeCell ref="B20:C20"/>
    <mergeCell ref="A1:M1"/>
    <mergeCell ref="A2:M2"/>
    <mergeCell ref="G68:M69"/>
    <mergeCell ref="B56:D56"/>
    <mergeCell ref="B7:D7"/>
    <mergeCell ref="B15:C15"/>
    <mergeCell ref="B31:C31"/>
    <mergeCell ref="B47:C47"/>
    <mergeCell ref="B41:D41"/>
    <mergeCell ref="G35:M36"/>
    <mergeCell ref="B26:D26"/>
    <mergeCell ref="B4:N4"/>
    <mergeCell ref="B22:C22"/>
    <mergeCell ref="B21:C21"/>
  </mergeCells>
  <pageMargins left="0.7" right="0.7" top="0.75" bottom="0.75" header="0.3" footer="0.3"/>
  <pageSetup scale="68" fitToHeight="0" orientation="landscape" horizontalDpi="4294967292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988"/>
  <sheetViews>
    <sheetView workbookViewId="0">
      <selection activeCell="D12" sqref="D12"/>
    </sheetView>
  </sheetViews>
  <sheetFormatPr baseColWidth="10" defaultColWidth="14.42578125" defaultRowHeight="15" customHeight="1" x14ac:dyDescent="0.25"/>
  <cols>
    <col min="1" max="1" width="7.28515625" style="58" customWidth="1"/>
    <col min="2" max="2" width="10.7109375" style="58" customWidth="1"/>
    <col min="3" max="3" width="20.28515625" style="58" customWidth="1"/>
    <col min="4" max="4" width="14.85546875" style="58" customWidth="1"/>
    <col min="5" max="26" width="10.7109375" style="58" customWidth="1"/>
    <col min="27" max="16384" width="14.42578125" style="58"/>
  </cols>
  <sheetData>
    <row r="1" spans="1:26" ht="90.75" customHeight="1" x14ac:dyDescent="0.25">
      <c r="A1" s="117"/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57"/>
      <c r="O1" s="57"/>
      <c r="P1" s="57"/>
      <c r="Q1" s="57"/>
    </row>
    <row r="2" spans="1:26" ht="15.75" x14ac:dyDescent="0.25">
      <c r="A2" s="57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</row>
    <row r="3" spans="1:26" ht="15.75" x14ac:dyDescent="0.25">
      <c r="A3" s="119" t="s">
        <v>61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57"/>
      <c r="O3" s="57"/>
      <c r="P3" s="57"/>
      <c r="Q3" s="57"/>
    </row>
    <row r="4" spans="1:26" ht="15.75" x14ac:dyDescent="0.25">
      <c r="A4" s="57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</row>
    <row r="5" spans="1:26" ht="15.75" x14ac:dyDescent="0.25">
      <c r="A5" s="57"/>
      <c r="B5" s="119" t="s">
        <v>62</v>
      </c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</row>
    <row r="6" spans="1:26" ht="15.75" x14ac:dyDescent="0.25">
      <c r="A6" s="57"/>
      <c r="B6" s="60"/>
      <c r="C6" s="60"/>
      <c r="D6" s="60"/>
      <c r="E6" s="60"/>
      <c r="F6" s="60"/>
      <c r="G6" s="135" t="s">
        <v>65</v>
      </c>
      <c r="H6" s="118"/>
      <c r="I6" s="118"/>
      <c r="J6" s="118"/>
      <c r="K6" s="118"/>
      <c r="L6" s="118"/>
      <c r="M6" s="118"/>
      <c r="N6" s="60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spans="1:26" ht="15.75" x14ac:dyDescent="0.25">
      <c r="A7" s="59"/>
      <c r="B7" s="126" t="s">
        <v>64</v>
      </c>
      <c r="C7" s="127"/>
      <c r="D7" s="128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</row>
    <row r="8" spans="1:26" ht="15.75" x14ac:dyDescent="0.25">
      <c r="A8" s="59"/>
      <c r="B8" s="166" t="s">
        <v>73</v>
      </c>
      <c r="C8" s="166" t="s">
        <v>8</v>
      </c>
      <c r="D8" s="166" t="s">
        <v>75</v>
      </c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</row>
    <row r="9" spans="1:26" ht="15.75" x14ac:dyDescent="0.25">
      <c r="A9" s="57"/>
      <c r="B9" s="68">
        <v>1</v>
      </c>
      <c r="C9" s="75" t="s">
        <v>1</v>
      </c>
      <c r="D9" s="69">
        <v>291</v>
      </c>
      <c r="E9" s="60"/>
      <c r="F9" s="60"/>
      <c r="G9" s="60"/>
      <c r="H9" s="60"/>
      <c r="I9" s="60"/>
      <c r="J9" s="60"/>
      <c r="K9" s="60"/>
      <c r="L9" s="60"/>
      <c r="M9" s="60"/>
      <c r="N9" s="60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 spans="1:26" ht="15.75" x14ac:dyDescent="0.25">
      <c r="A10" s="57"/>
      <c r="B10" s="68">
        <v>2</v>
      </c>
      <c r="C10" s="77" t="s">
        <v>30</v>
      </c>
      <c r="D10" s="69">
        <v>368</v>
      </c>
      <c r="E10" s="57"/>
      <c r="F10" s="57"/>
      <c r="G10" s="57"/>
      <c r="H10" s="57"/>
      <c r="I10" s="57"/>
      <c r="J10" s="57"/>
      <c r="K10" s="57"/>
      <c r="L10" s="57"/>
      <c r="M10" s="57"/>
      <c r="N10" s="57"/>
    </row>
    <row r="11" spans="1:26" ht="15.75" x14ac:dyDescent="0.25">
      <c r="A11" s="57"/>
      <c r="B11" s="68">
        <v>3</v>
      </c>
      <c r="C11" s="77" t="s">
        <v>2</v>
      </c>
      <c r="D11" s="69">
        <v>156</v>
      </c>
      <c r="E11" s="57"/>
      <c r="F11" s="57"/>
      <c r="G11" s="57"/>
      <c r="H11" s="57"/>
      <c r="I11" s="57"/>
      <c r="J11" s="57"/>
      <c r="K11" s="57"/>
      <c r="L11" s="57"/>
      <c r="M11" s="57"/>
      <c r="N11" s="57"/>
    </row>
    <row r="12" spans="1:26" ht="31.5" x14ac:dyDescent="0.25">
      <c r="A12" s="57"/>
      <c r="B12" s="68">
        <v>4</v>
      </c>
      <c r="C12" s="75" t="s">
        <v>3</v>
      </c>
      <c r="D12" s="69">
        <v>29</v>
      </c>
      <c r="E12" s="57"/>
      <c r="F12" s="57"/>
      <c r="G12" s="57"/>
      <c r="H12" s="57"/>
      <c r="I12" s="57"/>
      <c r="J12" s="57"/>
      <c r="K12" s="57"/>
      <c r="L12" s="57"/>
      <c r="M12" s="57"/>
      <c r="N12" s="57"/>
    </row>
    <row r="13" spans="1:26" ht="15.75" x14ac:dyDescent="0.25">
      <c r="A13" s="57"/>
      <c r="B13" s="68">
        <v>5</v>
      </c>
      <c r="C13" s="75" t="s">
        <v>4</v>
      </c>
      <c r="D13" s="69">
        <v>12</v>
      </c>
      <c r="E13" s="57"/>
      <c r="F13" s="57"/>
      <c r="G13" s="57"/>
      <c r="H13" s="57"/>
      <c r="I13" s="57"/>
      <c r="J13" s="57"/>
      <c r="K13" s="57"/>
      <c r="L13" s="57"/>
      <c r="M13" s="57"/>
      <c r="N13" s="57"/>
    </row>
    <row r="14" spans="1:26" ht="15.75" x14ac:dyDescent="0.25">
      <c r="A14" s="57"/>
      <c r="B14" s="68">
        <v>6</v>
      </c>
      <c r="C14" s="75" t="s">
        <v>37</v>
      </c>
      <c r="D14" s="76">
        <v>0</v>
      </c>
      <c r="E14" s="57"/>
      <c r="F14" s="57"/>
      <c r="G14" s="57"/>
      <c r="H14" s="57"/>
      <c r="I14" s="57"/>
      <c r="J14" s="57"/>
      <c r="K14" s="57"/>
      <c r="L14" s="57"/>
      <c r="M14" s="57"/>
      <c r="N14" s="57"/>
    </row>
    <row r="15" spans="1:26" ht="15.75" x14ac:dyDescent="0.25">
      <c r="A15" s="57"/>
      <c r="B15" s="68">
        <v>7</v>
      </c>
      <c r="C15" s="75" t="s">
        <v>38</v>
      </c>
      <c r="D15" s="69">
        <v>11</v>
      </c>
      <c r="E15" s="57"/>
      <c r="F15" s="57"/>
      <c r="G15" s="57"/>
      <c r="H15" s="57"/>
      <c r="I15" s="57"/>
      <c r="J15" s="57"/>
      <c r="K15" s="57"/>
      <c r="L15" s="57"/>
      <c r="M15" s="57"/>
      <c r="N15" s="57"/>
    </row>
    <row r="16" spans="1:26" ht="31.5" x14ac:dyDescent="0.25">
      <c r="A16" s="57"/>
      <c r="B16" s="68">
        <v>8</v>
      </c>
      <c r="C16" s="75" t="s">
        <v>74</v>
      </c>
      <c r="D16" s="69">
        <v>0</v>
      </c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 spans="1:26" ht="15.75" x14ac:dyDescent="0.25">
      <c r="A17" s="57"/>
      <c r="B17" s="129" t="s">
        <v>23</v>
      </c>
      <c r="C17" s="130"/>
      <c r="D17" s="74">
        <f>SUM(D9:D16)</f>
        <v>867</v>
      </c>
      <c r="E17" s="57"/>
      <c r="F17" s="57"/>
      <c r="G17" s="57"/>
      <c r="H17" s="57"/>
      <c r="I17" s="57"/>
      <c r="J17" s="57"/>
      <c r="K17" s="57"/>
      <c r="L17" s="57"/>
      <c r="M17" s="57"/>
      <c r="N17" s="57"/>
    </row>
    <row r="18" spans="1:26" ht="24" customHeight="1" x14ac:dyDescent="0.25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</row>
    <row r="19" spans="1:26" ht="15.75" x14ac:dyDescent="0.25">
      <c r="A19" s="57"/>
      <c r="B19" s="131"/>
      <c r="C19" s="118"/>
      <c r="D19" s="73"/>
      <c r="E19" s="57"/>
      <c r="F19" s="57"/>
      <c r="G19" s="57" t="s">
        <v>41</v>
      </c>
      <c r="H19" s="57"/>
      <c r="I19" s="57"/>
      <c r="J19" s="57"/>
      <c r="K19" s="57"/>
      <c r="L19" s="57"/>
      <c r="M19" s="57"/>
      <c r="N19" s="57"/>
    </row>
    <row r="20" spans="1:26" ht="15.75" x14ac:dyDescent="0.25">
      <c r="A20" s="57"/>
      <c r="B20" s="131"/>
      <c r="C20" s="118"/>
      <c r="D20" s="73"/>
      <c r="E20" s="57"/>
      <c r="F20" s="57"/>
      <c r="G20" s="57"/>
      <c r="H20" s="57"/>
      <c r="I20" s="57"/>
      <c r="J20" s="57"/>
      <c r="K20" s="57"/>
      <c r="L20" s="57"/>
      <c r="M20" s="57"/>
      <c r="N20" s="57"/>
    </row>
    <row r="21" spans="1:26" ht="15.75" x14ac:dyDescent="0.25">
      <c r="A21" s="57"/>
      <c r="B21" s="131"/>
      <c r="C21" s="118"/>
      <c r="D21" s="73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 spans="1:26" ht="15.75" customHeight="1" x14ac:dyDescent="0.25">
      <c r="A22" s="57"/>
      <c r="B22" s="131"/>
      <c r="C22" s="118"/>
      <c r="D22" s="73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3" spans="1:26" ht="15.75" customHeight="1" x14ac:dyDescent="0.25">
      <c r="A23" s="57"/>
      <c r="B23" s="131"/>
      <c r="C23" s="118"/>
      <c r="D23" s="73"/>
      <c r="E23" s="57"/>
      <c r="F23" s="57"/>
      <c r="G23" s="119" t="s">
        <v>67</v>
      </c>
      <c r="H23" s="118"/>
      <c r="I23" s="118"/>
      <c r="J23" s="118"/>
      <c r="K23" s="118"/>
      <c r="L23" s="118"/>
      <c r="M23" s="118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 spans="1:26" ht="15.75" customHeight="1" x14ac:dyDescent="0.25">
      <c r="A24" s="57"/>
      <c r="B24" s="134" t="s">
        <v>66</v>
      </c>
      <c r="C24" s="127"/>
      <c r="D24" s="128"/>
      <c r="E24" s="57"/>
      <c r="F24" s="57"/>
      <c r="G24" s="57"/>
      <c r="H24" s="57"/>
      <c r="I24" s="57"/>
      <c r="J24" s="57"/>
      <c r="K24" s="57"/>
      <c r="L24" s="57"/>
      <c r="M24" s="57"/>
      <c r="N24" s="57"/>
    </row>
    <row r="25" spans="1:26" ht="28.5" customHeight="1" x14ac:dyDescent="0.25">
      <c r="A25" s="57"/>
      <c r="B25" s="68" t="s">
        <v>73</v>
      </c>
      <c r="C25" s="72" t="s">
        <v>72</v>
      </c>
      <c r="D25" s="68" t="s">
        <v>70</v>
      </c>
      <c r="E25" s="57"/>
      <c r="F25" s="57"/>
      <c r="G25" s="57"/>
      <c r="H25" s="57"/>
      <c r="I25" s="57"/>
      <c r="J25" s="57"/>
      <c r="K25" s="57"/>
      <c r="L25" s="57"/>
      <c r="M25" s="57"/>
      <c r="N25" s="57"/>
    </row>
    <row r="26" spans="1:26" ht="15.75" customHeight="1" x14ac:dyDescent="0.25">
      <c r="A26" s="57"/>
      <c r="B26" s="61">
        <v>1</v>
      </c>
      <c r="C26" s="63" t="s">
        <v>5</v>
      </c>
      <c r="D26" s="62">
        <v>34</v>
      </c>
      <c r="E26" s="57"/>
      <c r="F26" s="57"/>
      <c r="G26" s="57"/>
      <c r="H26" s="57"/>
      <c r="I26" s="57"/>
      <c r="J26" s="57"/>
      <c r="K26" s="57"/>
      <c r="L26" s="57"/>
      <c r="M26" s="57"/>
      <c r="N26" s="57"/>
    </row>
    <row r="27" spans="1:26" ht="31.5" customHeight="1" x14ac:dyDescent="0.25">
      <c r="A27" s="57"/>
      <c r="B27" s="68">
        <v>2</v>
      </c>
      <c r="C27" s="71" t="s">
        <v>31</v>
      </c>
      <c r="D27" s="62">
        <v>791</v>
      </c>
      <c r="E27" s="57"/>
      <c r="F27" s="57"/>
      <c r="G27" s="57"/>
      <c r="H27" s="57"/>
      <c r="I27" s="57"/>
      <c r="J27" s="57"/>
      <c r="K27" s="57"/>
      <c r="L27" s="57"/>
      <c r="M27" s="57"/>
      <c r="N27" s="57"/>
    </row>
    <row r="28" spans="1:26" ht="15.75" customHeight="1" x14ac:dyDescent="0.25">
      <c r="A28" s="57"/>
      <c r="B28" s="61">
        <v>3</v>
      </c>
      <c r="C28" s="70" t="s">
        <v>6</v>
      </c>
      <c r="D28" s="69">
        <v>2</v>
      </c>
      <c r="E28" s="57"/>
      <c r="F28" s="57"/>
      <c r="G28" s="57"/>
      <c r="H28" s="57"/>
      <c r="I28" s="57"/>
      <c r="J28" s="57"/>
      <c r="K28" s="57"/>
      <c r="L28" s="57"/>
      <c r="M28" s="57"/>
      <c r="N28" s="57"/>
    </row>
    <row r="29" spans="1:26" ht="15.75" customHeight="1" x14ac:dyDescent="0.25">
      <c r="A29" s="57"/>
      <c r="B29" s="61">
        <v>4</v>
      </c>
      <c r="C29" s="63" t="s">
        <v>7</v>
      </c>
      <c r="D29" s="69">
        <v>0</v>
      </c>
      <c r="E29" s="57"/>
      <c r="F29" s="57"/>
      <c r="G29" s="57"/>
      <c r="H29" s="57"/>
      <c r="I29" s="57"/>
      <c r="J29" s="57"/>
      <c r="K29" s="57"/>
      <c r="L29" s="57"/>
      <c r="M29" s="57"/>
      <c r="N29" s="57"/>
    </row>
    <row r="30" spans="1:26" ht="15.75" customHeight="1" x14ac:dyDescent="0.25">
      <c r="A30" s="57"/>
      <c r="B30" s="133" t="s">
        <v>23</v>
      </c>
      <c r="C30" s="130"/>
      <c r="D30" s="68">
        <f>SUM(D26:D29)</f>
        <v>827</v>
      </c>
      <c r="E30" s="57"/>
      <c r="F30" s="57"/>
      <c r="G30" s="57"/>
      <c r="H30" s="57"/>
      <c r="I30" s="57"/>
      <c r="J30" s="57"/>
      <c r="K30" s="57"/>
      <c r="L30" s="57"/>
      <c r="M30" s="57"/>
      <c r="N30" s="57"/>
    </row>
    <row r="31" spans="1:26" ht="15.75" customHeight="1" x14ac:dyDescent="0.25">
      <c r="A31" s="57"/>
      <c r="E31" s="57"/>
      <c r="F31" s="57"/>
      <c r="G31" s="57"/>
      <c r="H31" s="57"/>
      <c r="I31" s="57"/>
      <c r="J31" s="57"/>
      <c r="K31" s="57"/>
      <c r="L31" s="57"/>
      <c r="M31" s="57"/>
      <c r="N31" s="57"/>
    </row>
    <row r="32" spans="1:26" ht="15.75" customHeight="1" x14ac:dyDescent="0.25">
      <c r="A32" s="57"/>
      <c r="E32" s="57"/>
      <c r="F32" s="57"/>
      <c r="G32" s="57"/>
      <c r="H32" s="57"/>
      <c r="I32" s="57"/>
      <c r="J32" s="57"/>
      <c r="K32" s="57"/>
      <c r="L32" s="57"/>
      <c r="M32" s="57"/>
      <c r="N32" s="57"/>
    </row>
    <row r="33" spans="1:26" ht="15.75" customHeight="1" x14ac:dyDescent="0.25">
      <c r="A33" s="57"/>
      <c r="E33" s="57"/>
      <c r="F33" s="57"/>
      <c r="G33" s="57"/>
      <c r="H33" s="57"/>
      <c r="I33" s="57"/>
      <c r="J33" s="57"/>
      <c r="K33" s="57"/>
      <c r="L33" s="57"/>
      <c r="M33" s="57"/>
      <c r="N33" s="57"/>
    </row>
    <row r="34" spans="1:26" ht="15.75" customHeight="1" x14ac:dyDescent="0.25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</row>
    <row r="35" spans="1:26" ht="15.75" customHeight="1" x14ac:dyDescent="0.25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</row>
    <row r="36" spans="1:26" ht="15.75" customHeight="1" x14ac:dyDescent="0.25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</row>
    <row r="37" spans="1:26" ht="15.75" customHeight="1" x14ac:dyDescent="0.25">
      <c r="A37" s="57"/>
      <c r="B37" s="57"/>
      <c r="C37" s="57"/>
      <c r="D37" s="57"/>
      <c r="E37" s="57"/>
      <c r="F37" s="57"/>
      <c r="G37" s="132" t="s">
        <v>42</v>
      </c>
      <c r="H37" s="118"/>
      <c r="I37" s="118"/>
      <c r="J37" s="118"/>
      <c r="K37" s="118"/>
      <c r="L37" s="118"/>
      <c r="M37" s="118"/>
      <c r="N37" s="57"/>
    </row>
    <row r="38" spans="1:26" ht="15.75" customHeight="1" x14ac:dyDescent="0.25">
      <c r="A38" s="57"/>
      <c r="B38" s="57"/>
      <c r="C38" s="57"/>
      <c r="D38" s="57"/>
      <c r="E38" s="57"/>
      <c r="F38" s="57"/>
      <c r="G38" s="118"/>
      <c r="H38" s="118"/>
      <c r="I38" s="118"/>
      <c r="J38" s="118"/>
      <c r="K38" s="118"/>
      <c r="L38" s="118"/>
      <c r="M38" s="118"/>
      <c r="N38" s="57"/>
    </row>
    <row r="39" spans="1:26" ht="15.75" customHeight="1" x14ac:dyDescent="0.25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</row>
    <row r="40" spans="1:26" ht="15.75" customHeight="1" x14ac:dyDescent="0.25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</row>
    <row r="41" spans="1:26" ht="15.75" customHeight="1" x14ac:dyDescent="0.25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spans="1:26" ht="31.5" customHeight="1" x14ac:dyDescent="0.25">
      <c r="A42" s="57"/>
      <c r="E42" s="67"/>
      <c r="F42" s="57"/>
      <c r="G42" s="119" t="s">
        <v>69</v>
      </c>
      <c r="H42" s="118"/>
      <c r="I42" s="118"/>
      <c r="J42" s="118"/>
      <c r="K42" s="118"/>
      <c r="L42" s="118"/>
      <c r="M42" s="118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 spans="1:26" ht="15.75" customHeight="1" x14ac:dyDescent="0.25">
      <c r="A43" s="57"/>
      <c r="B43" s="126" t="s">
        <v>68</v>
      </c>
      <c r="C43" s="127"/>
      <c r="D43" s="128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 spans="1:26" ht="15.75" customHeight="1" x14ac:dyDescent="0.25">
      <c r="A44" s="57"/>
      <c r="B44" s="66" t="s">
        <v>71</v>
      </c>
      <c r="C44" s="65" t="s">
        <v>19</v>
      </c>
      <c r="D44" s="64" t="s">
        <v>70</v>
      </c>
      <c r="E44" s="57"/>
      <c r="F44" s="57"/>
      <c r="G44" s="57"/>
      <c r="H44" s="57"/>
      <c r="I44" s="57"/>
      <c r="J44" s="57"/>
      <c r="K44" s="57"/>
      <c r="L44" s="57"/>
      <c r="M44" s="57"/>
      <c r="N44" s="57"/>
    </row>
    <row r="45" spans="1:26" ht="15.75" customHeight="1" x14ac:dyDescent="0.25">
      <c r="A45" s="57"/>
      <c r="B45" s="61">
        <v>1</v>
      </c>
      <c r="C45" s="63" t="s">
        <v>10</v>
      </c>
      <c r="D45" s="62">
        <v>46</v>
      </c>
      <c r="E45" s="57"/>
      <c r="F45" s="57"/>
      <c r="G45" s="57"/>
      <c r="H45" s="57"/>
      <c r="I45" s="57"/>
      <c r="J45" s="57"/>
      <c r="K45" s="57"/>
      <c r="L45" s="57"/>
      <c r="M45" s="57"/>
      <c r="N45" s="57"/>
    </row>
    <row r="46" spans="1:26" ht="15.75" customHeight="1" x14ac:dyDescent="0.25">
      <c r="A46" s="57"/>
      <c r="B46" s="61">
        <v>2</v>
      </c>
      <c r="C46" s="63" t="s">
        <v>11</v>
      </c>
      <c r="D46" s="62">
        <v>752</v>
      </c>
      <c r="E46" s="57"/>
      <c r="F46" s="57"/>
      <c r="G46" s="57"/>
      <c r="H46" s="57"/>
      <c r="I46" s="57"/>
      <c r="J46" s="57"/>
      <c r="K46" s="57"/>
      <c r="L46" s="57"/>
      <c r="M46" s="57"/>
      <c r="N46" s="57"/>
    </row>
    <row r="47" spans="1:26" ht="15.75" customHeight="1" x14ac:dyDescent="0.25">
      <c r="A47" s="57"/>
      <c r="B47" s="61">
        <v>3</v>
      </c>
      <c r="C47" s="63" t="s">
        <v>33</v>
      </c>
      <c r="D47" s="62">
        <v>0</v>
      </c>
      <c r="E47" s="57"/>
      <c r="F47" s="57"/>
      <c r="G47" s="57"/>
      <c r="H47" s="57"/>
      <c r="I47" s="57"/>
      <c r="J47" s="57"/>
      <c r="K47" s="57"/>
      <c r="L47" s="57"/>
      <c r="M47" s="57"/>
      <c r="N47" s="57"/>
    </row>
    <row r="48" spans="1:26" ht="15.75" customHeight="1" x14ac:dyDescent="0.25">
      <c r="A48" s="57"/>
      <c r="B48" s="61">
        <v>4</v>
      </c>
      <c r="C48" s="63" t="s">
        <v>32</v>
      </c>
      <c r="D48" s="62">
        <v>58</v>
      </c>
      <c r="E48" s="57"/>
      <c r="F48" s="57"/>
      <c r="G48" s="57"/>
      <c r="H48" s="57"/>
      <c r="I48" s="57"/>
      <c r="J48" s="57"/>
      <c r="K48" s="57"/>
      <c r="L48" s="57"/>
      <c r="M48" s="57"/>
      <c r="N48" s="57"/>
    </row>
    <row r="49" spans="1:14" ht="15.75" customHeight="1" x14ac:dyDescent="0.25">
      <c r="A49" s="57"/>
      <c r="B49" s="61">
        <v>5</v>
      </c>
      <c r="C49" s="63" t="s">
        <v>12</v>
      </c>
      <c r="D49" s="62">
        <v>0</v>
      </c>
      <c r="E49" s="57"/>
      <c r="F49" s="57"/>
      <c r="G49" s="57"/>
      <c r="H49" s="57"/>
      <c r="I49" s="57"/>
      <c r="J49" s="57"/>
      <c r="K49" s="57"/>
      <c r="L49" s="57"/>
      <c r="M49" s="57"/>
      <c r="N49" s="57"/>
    </row>
    <row r="50" spans="1:14" ht="15.75" customHeight="1" x14ac:dyDescent="0.25">
      <c r="A50" s="57"/>
      <c r="B50" s="129" t="s">
        <v>23</v>
      </c>
      <c r="C50" s="130"/>
      <c r="D50" s="61">
        <f>SUM(D45:D49)</f>
        <v>856</v>
      </c>
      <c r="E50" s="57"/>
      <c r="F50" s="57"/>
      <c r="G50" s="57"/>
      <c r="H50" s="57"/>
      <c r="I50" s="57"/>
      <c r="J50" s="57"/>
      <c r="K50" s="57"/>
      <c r="L50" s="57"/>
      <c r="M50" s="57"/>
      <c r="N50" s="57"/>
    </row>
    <row r="51" spans="1:14" ht="15.75" customHeight="1" x14ac:dyDescent="0.25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</row>
    <row r="52" spans="1:14" ht="15.75" customHeight="1" x14ac:dyDescent="0.25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</row>
    <row r="53" spans="1:14" ht="15.75" customHeight="1" x14ac:dyDescent="0.25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</row>
    <row r="54" spans="1:14" ht="15.75" customHeight="1" x14ac:dyDescent="0.25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</row>
    <row r="55" spans="1:14" ht="15.75" customHeight="1" x14ac:dyDescent="0.25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</row>
    <row r="56" spans="1:14" ht="15.75" customHeight="1" x14ac:dyDescent="0.25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</row>
    <row r="57" spans="1:14" ht="15.75" customHeight="1" x14ac:dyDescent="0.25">
      <c r="A57" s="57"/>
      <c r="E57" s="57"/>
      <c r="F57" s="57"/>
      <c r="G57" s="57" t="s">
        <v>41</v>
      </c>
      <c r="H57" s="57"/>
      <c r="I57" s="57"/>
      <c r="J57" s="57"/>
      <c r="K57" s="57"/>
      <c r="L57" s="57"/>
      <c r="M57" s="57"/>
      <c r="N57" s="57"/>
    </row>
    <row r="58" spans="1:14" ht="15.75" customHeight="1" x14ac:dyDescent="0.25">
      <c r="A58" s="57"/>
      <c r="E58" s="57"/>
      <c r="F58" s="57"/>
      <c r="G58" s="57"/>
      <c r="H58" s="57"/>
      <c r="I58" s="57"/>
      <c r="J58" s="57"/>
      <c r="K58" s="57"/>
      <c r="L58" s="57"/>
      <c r="M58" s="57"/>
      <c r="N58" s="57"/>
    </row>
    <row r="59" spans="1:14" ht="15.75" customHeight="1" x14ac:dyDescent="0.25">
      <c r="A59" s="57"/>
    </row>
    <row r="60" spans="1:14" ht="15.75" customHeight="1" x14ac:dyDescent="0.25">
      <c r="A60" s="57"/>
    </row>
    <row r="61" spans="1:14" ht="15.75" customHeight="1" x14ac:dyDescent="0.25">
      <c r="A61" s="57"/>
    </row>
    <row r="62" spans="1:14" ht="15.75" customHeight="1" x14ac:dyDescent="0.25">
      <c r="A62" s="57"/>
    </row>
    <row r="63" spans="1:14" ht="15.75" customHeight="1" x14ac:dyDescent="0.25">
      <c r="A63" s="57"/>
    </row>
    <row r="64" spans="1:14" ht="15.75" customHeight="1" x14ac:dyDescent="0.25">
      <c r="A64" s="57"/>
    </row>
    <row r="65" spans="1:1" ht="15.75" customHeight="1" x14ac:dyDescent="0.25">
      <c r="A65" s="57"/>
    </row>
    <row r="66" spans="1:1" ht="15.75" customHeight="1" x14ac:dyDescent="0.25">
      <c r="A66" s="57"/>
    </row>
    <row r="67" spans="1:1" ht="15.75" customHeight="1" x14ac:dyDescent="0.25">
      <c r="A67" s="57"/>
    </row>
    <row r="68" spans="1:1" ht="15.75" customHeight="1" x14ac:dyDescent="0.25">
      <c r="A68" s="57"/>
    </row>
    <row r="69" spans="1:1" ht="15.75" customHeight="1" x14ac:dyDescent="0.25">
      <c r="A69" s="57"/>
    </row>
    <row r="70" spans="1:1" ht="15.75" customHeight="1" x14ac:dyDescent="0.25">
      <c r="A70" s="57"/>
    </row>
    <row r="71" spans="1:1" ht="15.75" customHeight="1" x14ac:dyDescent="0.25">
      <c r="A71" s="57"/>
    </row>
    <row r="72" spans="1:1" ht="15.75" customHeight="1" x14ac:dyDescent="0.25">
      <c r="A72" s="57"/>
    </row>
    <row r="73" spans="1:1" ht="15.75" customHeight="1" x14ac:dyDescent="0.25">
      <c r="A73" s="57"/>
    </row>
    <row r="74" spans="1:1" ht="15.75" customHeight="1" x14ac:dyDescent="0.25">
      <c r="A74" s="57"/>
    </row>
    <row r="75" spans="1:1" ht="15.75" customHeight="1" x14ac:dyDescent="0.25">
      <c r="A75" s="57"/>
    </row>
    <row r="76" spans="1:1" ht="15.75" customHeight="1" x14ac:dyDescent="0.25">
      <c r="A76" s="57"/>
    </row>
    <row r="77" spans="1:1" ht="15.75" customHeight="1" x14ac:dyDescent="0.25">
      <c r="A77" s="57"/>
    </row>
    <row r="78" spans="1:1" ht="15.75" customHeight="1" x14ac:dyDescent="0.25">
      <c r="A78" s="57"/>
    </row>
    <row r="79" spans="1:1" ht="15.75" customHeight="1" x14ac:dyDescent="0.25">
      <c r="A79" s="57"/>
    </row>
    <row r="80" spans="1:1" ht="15.75" customHeight="1" x14ac:dyDescent="0.25">
      <c r="A80" s="57"/>
    </row>
    <row r="81" spans="1:1" ht="15.75" customHeight="1" x14ac:dyDescent="0.25">
      <c r="A81" s="57"/>
    </row>
    <row r="82" spans="1:1" ht="15.75" customHeight="1" x14ac:dyDescent="0.25">
      <c r="A82" s="57"/>
    </row>
    <row r="83" spans="1:1" ht="15.75" customHeight="1" x14ac:dyDescent="0.25">
      <c r="A83" s="57"/>
    </row>
    <row r="84" spans="1:1" ht="15.75" customHeight="1" x14ac:dyDescent="0.25">
      <c r="A84" s="57"/>
    </row>
    <row r="85" spans="1:1" ht="15.75" customHeight="1" x14ac:dyDescent="0.25">
      <c r="A85" s="57"/>
    </row>
    <row r="86" spans="1:1" ht="15.75" customHeight="1" x14ac:dyDescent="0.25">
      <c r="A86" s="57"/>
    </row>
    <row r="87" spans="1:1" ht="15.75" customHeight="1" x14ac:dyDescent="0.25">
      <c r="A87" s="57"/>
    </row>
    <row r="88" spans="1:1" ht="15.75" customHeight="1" x14ac:dyDescent="0.25">
      <c r="A88" s="57"/>
    </row>
    <row r="89" spans="1:1" ht="15.75" customHeight="1" x14ac:dyDescent="0.25">
      <c r="A89" s="57"/>
    </row>
    <row r="90" spans="1:1" ht="15.75" customHeight="1" x14ac:dyDescent="0.25">
      <c r="A90" s="57"/>
    </row>
    <row r="91" spans="1:1" ht="15.75" customHeight="1" x14ac:dyDescent="0.25">
      <c r="A91" s="57"/>
    </row>
    <row r="92" spans="1:1" ht="15.75" customHeight="1" x14ac:dyDescent="0.25">
      <c r="A92" s="57"/>
    </row>
    <row r="93" spans="1:1" ht="15.75" customHeight="1" x14ac:dyDescent="0.25">
      <c r="A93" s="57"/>
    </row>
    <row r="94" spans="1:1" ht="15.75" customHeight="1" x14ac:dyDescent="0.25">
      <c r="A94" s="57"/>
    </row>
    <row r="95" spans="1:1" ht="15.75" customHeight="1" x14ac:dyDescent="0.25">
      <c r="A95" s="57"/>
    </row>
    <row r="96" spans="1:1" ht="15.75" customHeight="1" x14ac:dyDescent="0.25">
      <c r="A96" s="57"/>
    </row>
    <row r="97" spans="1:1" ht="15.75" customHeight="1" x14ac:dyDescent="0.25">
      <c r="A97" s="57"/>
    </row>
    <row r="98" spans="1:1" ht="15.75" customHeight="1" x14ac:dyDescent="0.25">
      <c r="A98" s="57"/>
    </row>
    <row r="99" spans="1:1" ht="15.75" customHeight="1" x14ac:dyDescent="0.25">
      <c r="A99" s="57"/>
    </row>
    <row r="100" spans="1:1" ht="15.75" customHeight="1" x14ac:dyDescent="0.25">
      <c r="A100" s="57"/>
    </row>
    <row r="101" spans="1:1" ht="15.75" customHeight="1" x14ac:dyDescent="0.25">
      <c r="A101" s="57"/>
    </row>
    <row r="102" spans="1:1" ht="15.75" customHeight="1" x14ac:dyDescent="0.25">
      <c r="A102" s="57"/>
    </row>
    <row r="103" spans="1:1" ht="15.75" customHeight="1" x14ac:dyDescent="0.25">
      <c r="A103" s="57"/>
    </row>
    <row r="104" spans="1:1" ht="15.75" customHeight="1" x14ac:dyDescent="0.25">
      <c r="A104" s="57"/>
    </row>
    <row r="105" spans="1:1" ht="15.75" customHeight="1" x14ac:dyDescent="0.25">
      <c r="A105" s="57"/>
    </row>
    <row r="106" spans="1:1" ht="15.75" customHeight="1" x14ac:dyDescent="0.25">
      <c r="A106" s="57"/>
    </row>
    <row r="107" spans="1:1" ht="15.75" customHeight="1" x14ac:dyDescent="0.25">
      <c r="A107" s="57"/>
    </row>
    <row r="108" spans="1:1" ht="15.75" customHeight="1" x14ac:dyDescent="0.25">
      <c r="A108" s="57"/>
    </row>
    <row r="109" spans="1:1" ht="15.75" customHeight="1" x14ac:dyDescent="0.25">
      <c r="A109" s="57"/>
    </row>
    <row r="110" spans="1:1" ht="15.75" customHeight="1" x14ac:dyDescent="0.25">
      <c r="A110" s="57"/>
    </row>
    <row r="111" spans="1:1" ht="15.75" customHeight="1" x14ac:dyDescent="0.25">
      <c r="A111" s="57"/>
    </row>
    <row r="112" spans="1:1" ht="15.75" customHeight="1" x14ac:dyDescent="0.25">
      <c r="A112" s="57"/>
    </row>
    <row r="113" spans="1:1" ht="15.75" customHeight="1" x14ac:dyDescent="0.25">
      <c r="A113" s="57"/>
    </row>
    <row r="114" spans="1:1" ht="15.75" customHeight="1" x14ac:dyDescent="0.25">
      <c r="A114" s="57"/>
    </row>
    <row r="115" spans="1:1" ht="15.75" customHeight="1" x14ac:dyDescent="0.25">
      <c r="A115" s="57"/>
    </row>
    <row r="116" spans="1:1" ht="15.75" customHeight="1" x14ac:dyDescent="0.25">
      <c r="A116" s="57"/>
    </row>
    <row r="117" spans="1:1" ht="15.75" customHeight="1" x14ac:dyDescent="0.25">
      <c r="A117" s="57"/>
    </row>
    <row r="118" spans="1:1" ht="15.75" customHeight="1" x14ac:dyDescent="0.25">
      <c r="A118" s="57"/>
    </row>
    <row r="119" spans="1:1" ht="15.75" customHeight="1" x14ac:dyDescent="0.25">
      <c r="A119" s="57"/>
    </row>
    <row r="120" spans="1:1" ht="15.75" customHeight="1" x14ac:dyDescent="0.25">
      <c r="A120" s="57"/>
    </row>
    <row r="121" spans="1:1" ht="15.75" customHeight="1" x14ac:dyDescent="0.25">
      <c r="A121" s="57"/>
    </row>
    <row r="122" spans="1:1" ht="15.75" customHeight="1" x14ac:dyDescent="0.25">
      <c r="A122" s="57"/>
    </row>
    <row r="123" spans="1:1" ht="15.75" customHeight="1" x14ac:dyDescent="0.25">
      <c r="A123" s="57"/>
    </row>
    <row r="124" spans="1:1" ht="15.75" customHeight="1" x14ac:dyDescent="0.25">
      <c r="A124" s="57"/>
    </row>
    <row r="125" spans="1:1" ht="15.75" customHeight="1" x14ac:dyDescent="0.25">
      <c r="A125" s="57"/>
    </row>
    <row r="126" spans="1:1" ht="15.75" customHeight="1" x14ac:dyDescent="0.25">
      <c r="A126" s="57"/>
    </row>
    <row r="127" spans="1:1" ht="15.75" customHeight="1" x14ac:dyDescent="0.25">
      <c r="A127" s="57"/>
    </row>
    <row r="128" spans="1:1" ht="15.75" customHeight="1" x14ac:dyDescent="0.25">
      <c r="A128" s="57"/>
    </row>
    <row r="129" spans="1:1" ht="15.75" customHeight="1" x14ac:dyDescent="0.25">
      <c r="A129" s="57"/>
    </row>
    <row r="130" spans="1:1" ht="15.75" customHeight="1" x14ac:dyDescent="0.25">
      <c r="A130" s="57"/>
    </row>
    <row r="131" spans="1:1" ht="15.75" customHeight="1" x14ac:dyDescent="0.25">
      <c r="A131" s="57"/>
    </row>
    <row r="132" spans="1:1" ht="15.75" customHeight="1" x14ac:dyDescent="0.25">
      <c r="A132" s="57"/>
    </row>
    <row r="133" spans="1:1" ht="15.75" customHeight="1" x14ac:dyDescent="0.25">
      <c r="A133" s="57"/>
    </row>
    <row r="134" spans="1:1" ht="15.75" customHeight="1" x14ac:dyDescent="0.25">
      <c r="A134" s="57"/>
    </row>
    <row r="135" spans="1:1" ht="15.75" customHeight="1" x14ac:dyDescent="0.25">
      <c r="A135" s="57"/>
    </row>
    <row r="136" spans="1:1" ht="15.75" customHeight="1" x14ac:dyDescent="0.25">
      <c r="A136" s="57"/>
    </row>
    <row r="137" spans="1:1" ht="15.75" customHeight="1" x14ac:dyDescent="0.25">
      <c r="A137" s="57"/>
    </row>
    <row r="138" spans="1:1" ht="15.75" customHeight="1" x14ac:dyDescent="0.25">
      <c r="A138" s="57"/>
    </row>
    <row r="139" spans="1:1" ht="15.75" customHeight="1" x14ac:dyDescent="0.25">
      <c r="A139" s="57"/>
    </row>
    <row r="140" spans="1:1" ht="15.75" customHeight="1" x14ac:dyDescent="0.25">
      <c r="A140" s="57"/>
    </row>
    <row r="141" spans="1:1" ht="15.75" customHeight="1" x14ac:dyDescent="0.25">
      <c r="A141" s="57"/>
    </row>
    <row r="142" spans="1:1" ht="15.75" customHeight="1" x14ac:dyDescent="0.25">
      <c r="A142" s="57"/>
    </row>
    <row r="143" spans="1:1" ht="15.75" customHeight="1" x14ac:dyDescent="0.25">
      <c r="A143" s="57"/>
    </row>
    <row r="144" spans="1:1" ht="15.75" customHeight="1" x14ac:dyDescent="0.25">
      <c r="A144" s="57"/>
    </row>
    <row r="145" spans="1:1" ht="15.75" customHeight="1" x14ac:dyDescent="0.25">
      <c r="A145" s="57"/>
    </row>
    <row r="146" spans="1:1" ht="15.75" customHeight="1" x14ac:dyDescent="0.25">
      <c r="A146" s="57"/>
    </row>
    <row r="147" spans="1:1" ht="15.75" customHeight="1" x14ac:dyDescent="0.25">
      <c r="A147" s="57"/>
    </row>
    <row r="148" spans="1:1" ht="15.75" customHeight="1" x14ac:dyDescent="0.25">
      <c r="A148" s="57"/>
    </row>
    <row r="149" spans="1:1" ht="15.75" customHeight="1" x14ac:dyDescent="0.25">
      <c r="A149" s="57"/>
    </row>
    <row r="150" spans="1:1" ht="15.75" customHeight="1" x14ac:dyDescent="0.25">
      <c r="A150" s="57"/>
    </row>
    <row r="151" spans="1:1" ht="15.75" customHeight="1" x14ac:dyDescent="0.25">
      <c r="A151" s="57"/>
    </row>
    <row r="152" spans="1:1" ht="15.75" customHeight="1" x14ac:dyDescent="0.25">
      <c r="A152" s="57"/>
    </row>
    <row r="153" spans="1:1" ht="15.75" customHeight="1" x14ac:dyDescent="0.25">
      <c r="A153" s="57"/>
    </row>
    <row r="154" spans="1:1" ht="15.75" customHeight="1" x14ac:dyDescent="0.25">
      <c r="A154" s="57"/>
    </row>
    <row r="155" spans="1:1" ht="15.75" customHeight="1" x14ac:dyDescent="0.25">
      <c r="A155" s="57"/>
    </row>
    <row r="156" spans="1:1" ht="15.75" customHeight="1" x14ac:dyDescent="0.25">
      <c r="A156" s="57"/>
    </row>
    <row r="157" spans="1:1" ht="15.75" customHeight="1" x14ac:dyDescent="0.25">
      <c r="A157" s="57"/>
    </row>
    <row r="158" spans="1:1" ht="15.75" customHeight="1" x14ac:dyDescent="0.25">
      <c r="A158" s="57"/>
    </row>
    <row r="159" spans="1:1" ht="15.75" customHeight="1" x14ac:dyDescent="0.25">
      <c r="A159" s="57"/>
    </row>
    <row r="160" spans="1:1" ht="15.75" customHeight="1" x14ac:dyDescent="0.25">
      <c r="A160" s="57"/>
    </row>
    <row r="161" spans="1:1" ht="15.75" customHeight="1" x14ac:dyDescent="0.25">
      <c r="A161" s="57"/>
    </row>
    <row r="162" spans="1:1" ht="15.75" customHeight="1" x14ac:dyDescent="0.25">
      <c r="A162" s="57"/>
    </row>
    <row r="163" spans="1:1" ht="15.75" customHeight="1" x14ac:dyDescent="0.25">
      <c r="A163" s="57"/>
    </row>
    <row r="164" spans="1:1" ht="15.75" customHeight="1" x14ac:dyDescent="0.25">
      <c r="A164" s="57"/>
    </row>
    <row r="165" spans="1:1" ht="15.75" customHeight="1" x14ac:dyDescent="0.25">
      <c r="A165" s="57"/>
    </row>
    <row r="166" spans="1:1" ht="15.75" customHeight="1" x14ac:dyDescent="0.25">
      <c r="A166" s="57"/>
    </row>
    <row r="167" spans="1:1" ht="15.75" customHeight="1" x14ac:dyDescent="0.25">
      <c r="A167" s="57"/>
    </row>
    <row r="168" spans="1:1" ht="15.75" customHeight="1" x14ac:dyDescent="0.25">
      <c r="A168" s="57"/>
    </row>
    <row r="169" spans="1:1" ht="15.75" customHeight="1" x14ac:dyDescent="0.25">
      <c r="A169" s="57"/>
    </row>
    <row r="170" spans="1:1" ht="15.75" customHeight="1" x14ac:dyDescent="0.25">
      <c r="A170" s="57"/>
    </row>
    <row r="171" spans="1:1" ht="15.75" customHeight="1" x14ac:dyDescent="0.25">
      <c r="A171" s="57"/>
    </row>
    <row r="172" spans="1:1" ht="15.75" customHeight="1" x14ac:dyDescent="0.25">
      <c r="A172" s="57"/>
    </row>
    <row r="173" spans="1:1" ht="15.75" customHeight="1" x14ac:dyDescent="0.25">
      <c r="A173" s="57"/>
    </row>
    <row r="174" spans="1:1" ht="15.75" customHeight="1" x14ac:dyDescent="0.25">
      <c r="A174" s="57"/>
    </row>
    <row r="175" spans="1:1" ht="15.75" customHeight="1" x14ac:dyDescent="0.25">
      <c r="A175" s="57"/>
    </row>
    <row r="176" spans="1:1" ht="15.75" customHeight="1" x14ac:dyDescent="0.25">
      <c r="A176" s="57"/>
    </row>
    <row r="177" spans="1:1" ht="15.75" customHeight="1" x14ac:dyDescent="0.25">
      <c r="A177" s="57"/>
    </row>
    <row r="178" spans="1:1" ht="15.75" customHeight="1" x14ac:dyDescent="0.25">
      <c r="A178" s="57"/>
    </row>
    <row r="179" spans="1:1" ht="15.75" customHeight="1" x14ac:dyDescent="0.25">
      <c r="A179" s="57"/>
    </row>
    <row r="180" spans="1:1" ht="15.75" customHeight="1" x14ac:dyDescent="0.25">
      <c r="A180" s="57"/>
    </row>
    <row r="181" spans="1:1" ht="15.75" customHeight="1" x14ac:dyDescent="0.25">
      <c r="A181" s="57"/>
    </row>
    <row r="182" spans="1:1" ht="15.75" customHeight="1" x14ac:dyDescent="0.25">
      <c r="A182" s="57"/>
    </row>
    <row r="183" spans="1:1" ht="15.75" customHeight="1" x14ac:dyDescent="0.25">
      <c r="A183" s="57"/>
    </row>
    <row r="184" spans="1:1" ht="15.75" customHeight="1" x14ac:dyDescent="0.25">
      <c r="A184" s="57"/>
    </row>
    <row r="185" spans="1:1" ht="15.75" customHeight="1" x14ac:dyDescent="0.25">
      <c r="A185" s="57"/>
    </row>
    <row r="186" spans="1:1" ht="15.75" customHeight="1" x14ac:dyDescent="0.25">
      <c r="A186" s="57"/>
    </row>
    <row r="187" spans="1:1" ht="15.75" customHeight="1" x14ac:dyDescent="0.25">
      <c r="A187" s="57"/>
    </row>
    <row r="188" spans="1:1" ht="15.75" customHeight="1" x14ac:dyDescent="0.25">
      <c r="A188" s="57"/>
    </row>
    <row r="189" spans="1:1" ht="15.75" customHeight="1" x14ac:dyDescent="0.25">
      <c r="A189" s="57"/>
    </row>
    <row r="190" spans="1:1" ht="15.75" customHeight="1" x14ac:dyDescent="0.25">
      <c r="A190" s="57"/>
    </row>
    <row r="191" spans="1:1" ht="15.75" customHeight="1" x14ac:dyDescent="0.25">
      <c r="A191" s="57"/>
    </row>
    <row r="192" spans="1:1" ht="15.75" customHeight="1" x14ac:dyDescent="0.25">
      <c r="A192" s="57"/>
    </row>
    <row r="193" spans="1:1" ht="15.75" customHeight="1" x14ac:dyDescent="0.25">
      <c r="A193" s="57"/>
    </row>
    <row r="194" spans="1:1" ht="15.75" customHeight="1" x14ac:dyDescent="0.25">
      <c r="A194" s="57"/>
    </row>
    <row r="195" spans="1:1" ht="15.75" customHeight="1" x14ac:dyDescent="0.25">
      <c r="A195" s="57"/>
    </row>
    <row r="196" spans="1:1" ht="15.75" customHeight="1" x14ac:dyDescent="0.25">
      <c r="A196" s="57"/>
    </row>
    <row r="197" spans="1:1" ht="15.75" customHeight="1" x14ac:dyDescent="0.25">
      <c r="A197" s="57"/>
    </row>
    <row r="198" spans="1:1" ht="15.75" customHeight="1" x14ac:dyDescent="0.25">
      <c r="A198" s="57"/>
    </row>
    <row r="199" spans="1:1" ht="15.75" customHeight="1" x14ac:dyDescent="0.25">
      <c r="A199" s="57"/>
    </row>
    <row r="200" spans="1:1" ht="15.75" customHeight="1" x14ac:dyDescent="0.25">
      <c r="A200" s="57"/>
    </row>
    <row r="201" spans="1:1" ht="15.75" customHeight="1" x14ac:dyDescent="0.25">
      <c r="A201" s="57"/>
    </row>
    <row r="202" spans="1:1" ht="15.75" customHeight="1" x14ac:dyDescent="0.25">
      <c r="A202" s="57"/>
    </row>
    <row r="203" spans="1:1" ht="15.75" customHeight="1" x14ac:dyDescent="0.25">
      <c r="A203" s="57"/>
    </row>
    <row r="204" spans="1:1" ht="15.75" customHeight="1" x14ac:dyDescent="0.25">
      <c r="A204" s="57"/>
    </row>
    <row r="205" spans="1:1" ht="15.75" customHeight="1" x14ac:dyDescent="0.25">
      <c r="A205" s="57"/>
    </row>
    <row r="206" spans="1:1" ht="15.75" customHeight="1" x14ac:dyDescent="0.25">
      <c r="A206" s="57"/>
    </row>
    <row r="207" spans="1:1" ht="15.75" customHeight="1" x14ac:dyDescent="0.25">
      <c r="A207" s="57"/>
    </row>
    <row r="208" spans="1:1" ht="15.75" customHeight="1" x14ac:dyDescent="0.25">
      <c r="A208" s="57"/>
    </row>
    <row r="209" spans="1:1" ht="15.75" customHeight="1" x14ac:dyDescent="0.25">
      <c r="A209" s="57"/>
    </row>
    <row r="210" spans="1:1" ht="15.75" customHeight="1" x14ac:dyDescent="0.25">
      <c r="A210" s="57"/>
    </row>
    <row r="211" spans="1:1" ht="15.75" customHeight="1" x14ac:dyDescent="0.25">
      <c r="A211" s="57"/>
    </row>
    <row r="212" spans="1:1" ht="15.75" customHeight="1" x14ac:dyDescent="0.25">
      <c r="A212" s="57"/>
    </row>
    <row r="213" spans="1:1" ht="15.75" customHeight="1" x14ac:dyDescent="0.25">
      <c r="A213" s="57"/>
    </row>
    <row r="214" spans="1:1" ht="15.75" customHeight="1" x14ac:dyDescent="0.25">
      <c r="A214" s="57"/>
    </row>
    <row r="215" spans="1:1" ht="15.75" customHeight="1" x14ac:dyDescent="0.25">
      <c r="A215" s="57"/>
    </row>
    <row r="216" spans="1:1" ht="15.75" customHeight="1" x14ac:dyDescent="0.25">
      <c r="A216" s="57"/>
    </row>
    <row r="217" spans="1:1" ht="15.75" customHeight="1" x14ac:dyDescent="0.25">
      <c r="A217" s="57"/>
    </row>
    <row r="218" spans="1:1" ht="15.75" customHeight="1" x14ac:dyDescent="0.25">
      <c r="A218" s="57"/>
    </row>
    <row r="219" spans="1:1" ht="15.75" customHeight="1" x14ac:dyDescent="0.25">
      <c r="A219" s="57"/>
    </row>
    <row r="220" spans="1:1" ht="15.75" customHeight="1" x14ac:dyDescent="0.25">
      <c r="A220" s="57"/>
    </row>
    <row r="221" spans="1:1" ht="15.75" customHeight="1" x14ac:dyDescent="0.25">
      <c r="A221" s="57"/>
    </row>
    <row r="222" spans="1:1" ht="15.75" customHeight="1" x14ac:dyDescent="0.25">
      <c r="A222" s="57"/>
    </row>
    <row r="223" spans="1:1" ht="15.75" customHeight="1" x14ac:dyDescent="0.25">
      <c r="A223" s="57"/>
    </row>
    <row r="224" spans="1:1" ht="15.75" customHeight="1" x14ac:dyDescent="0.25">
      <c r="A224" s="57"/>
    </row>
    <row r="225" spans="1:1" ht="15.75" customHeight="1" x14ac:dyDescent="0.25">
      <c r="A225" s="57"/>
    </row>
    <row r="226" spans="1:1" ht="15.75" customHeight="1" x14ac:dyDescent="0.25">
      <c r="A226" s="57"/>
    </row>
    <row r="227" spans="1:1" ht="15.75" customHeight="1" x14ac:dyDescent="0.25">
      <c r="A227" s="57"/>
    </row>
    <row r="228" spans="1:1" ht="15.75" customHeight="1" x14ac:dyDescent="0.25">
      <c r="A228" s="57"/>
    </row>
    <row r="229" spans="1:1" ht="15.75" customHeight="1" x14ac:dyDescent="0.25">
      <c r="A229" s="57"/>
    </row>
    <row r="230" spans="1:1" ht="15.75" customHeight="1" x14ac:dyDescent="0.25">
      <c r="A230" s="57"/>
    </row>
    <row r="231" spans="1:1" ht="15.75" customHeight="1" x14ac:dyDescent="0.25">
      <c r="A231" s="57"/>
    </row>
    <row r="232" spans="1:1" ht="15.75" customHeight="1" x14ac:dyDescent="0.25">
      <c r="A232" s="57"/>
    </row>
    <row r="233" spans="1:1" ht="15.75" customHeight="1" x14ac:dyDescent="0.25">
      <c r="A233" s="57"/>
    </row>
    <row r="234" spans="1:1" ht="15.75" customHeight="1" x14ac:dyDescent="0.25">
      <c r="A234" s="57"/>
    </row>
    <row r="235" spans="1:1" ht="15.75" customHeight="1" x14ac:dyDescent="0.25">
      <c r="A235" s="57"/>
    </row>
    <row r="236" spans="1:1" ht="15.75" customHeight="1" x14ac:dyDescent="0.25">
      <c r="A236" s="57"/>
    </row>
    <row r="237" spans="1:1" ht="15.75" customHeight="1" x14ac:dyDescent="0.25">
      <c r="A237" s="57"/>
    </row>
    <row r="238" spans="1:1" ht="15.75" customHeight="1" x14ac:dyDescent="0.25">
      <c r="A238" s="57"/>
    </row>
    <row r="239" spans="1:1" ht="15.75" customHeight="1" x14ac:dyDescent="0.25">
      <c r="A239" s="57"/>
    </row>
    <row r="240" spans="1:1" ht="15.75" customHeight="1" x14ac:dyDescent="0.25">
      <c r="A240" s="57"/>
    </row>
    <row r="241" spans="1:1" ht="15.75" customHeight="1" x14ac:dyDescent="0.25">
      <c r="A241" s="57"/>
    </row>
    <row r="242" spans="1:1" ht="15.75" customHeight="1" x14ac:dyDescent="0.25">
      <c r="A242" s="57"/>
    </row>
    <row r="243" spans="1:1" ht="15.75" customHeight="1" x14ac:dyDescent="0.25">
      <c r="A243" s="57"/>
    </row>
    <row r="244" spans="1:1" ht="15.75" customHeight="1" x14ac:dyDescent="0.25">
      <c r="A244" s="57"/>
    </row>
    <row r="245" spans="1:1" ht="15.75" customHeight="1" x14ac:dyDescent="0.25">
      <c r="A245" s="57"/>
    </row>
    <row r="246" spans="1:1" ht="15.75" customHeight="1" x14ac:dyDescent="0.25">
      <c r="A246" s="57"/>
    </row>
    <row r="247" spans="1:1" ht="15.75" customHeight="1" x14ac:dyDescent="0.25">
      <c r="A247" s="57"/>
    </row>
    <row r="248" spans="1:1" ht="15.75" customHeight="1" x14ac:dyDescent="0.25">
      <c r="A248" s="57"/>
    </row>
    <row r="249" spans="1:1" ht="15.75" customHeight="1" x14ac:dyDescent="0.25">
      <c r="A249" s="57"/>
    </row>
    <row r="250" spans="1:1" ht="15.75" customHeight="1" x14ac:dyDescent="0.25">
      <c r="A250" s="57"/>
    </row>
    <row r="251" spans="1:1" ht="15.75" customHeight="1" x14ac:dyDescent="0.25">
      <c r="A251" s="57"/>
    </row>
    <row r="252" spans="1:1" ht="15.75" customHeight="1" x14ac:dyDescent="0.25">
      <c r="A252" s="57"/>
    </row>
    <row r="253" spans="1:1" ht="15.75" customHeight="1" x14ac:dyDescent="0.25">
      <c r="A253" s="57"/>
    </row>
    <row r="254" spans="1:1" ht="15.75" customHeight="1" x14ac:dyDescent="0.25">
      <c r="A254" s="57"/>
    </row>
    <row r="255" spans="1:1" ht="15.75" customHeight="1" x14ac:dyDescent="0.25">
      <c r="A255" s="57"/>
    </row>
    <row r="256" spans="1:1" ht="15.75" customHeight="1" x14ac:dyDescent="0.25">
      <c r="A256" s="57"/>
    </row>
    <row r="257" spans="1:1" ht="15.75" customHeight="1" x14ac:dyDescent="0.25">
      <c r="A257" s="57"/>
    </row>
    <row r="258" spans="1:1" ht="15.75" customHeight="1" x14ac:dyDescent="0.25">
      <c r="A258" s="57"/>
    </row>
    <row r="259" spans="1:1" ht="15.75" customHeight="1" x14ac:dyDescent="0.25">
      <c r="A259" s="57"/>
    </row>
    <row r="260" spans="1:1" ht="15.75" customHeight="1" x14ac:dyDescent="0.25">
      <c r="A260" s="57"/>
    </row>
    <row r="261" spans="1:1" ht="15.75" customHeight="1" x14ac:dyDescent="0.25">
      <c r="A261" s="57"/>
    </row>
    <row r="262" spans="1:1" ht="15.75" customHeight="1" x14ac:dyDescent="0.25">
      <c r="A262" s="57"/>
    </row>
    <row r="263" spans="1:1" ht="15.75" customHeight="1" x14ac:dyDescent="0.25">
      <c r="A263" s="57"/>
    </row>
    <row r="264" spans="1:1" ht="15.75" customHeight="1" x14ac:dyDescent="0.25">
      <c r="A264" s="57"/>
    </row>
    <row r="265" spans="1:1" ht="15.75" customHeight="1" x14ac:dyDescent="0.25">
      <c r="A265" s="57"/>
    </row>
    <row r="266" spans="1:1" ht="15.75" customHeight="1" x14ac:dyDescent="0.25">
      <c r="A266" s="57"/>
    </row>
    <row r="267" spans="1:1" ht="15.75" customHeight="1" x14ac:dyDescent="0.25">
      <c r="A267" s="57"/>
    </row>
    <row r="268" spans="1:1" ht="15.75" customHeight="1" x14ac:dyDescent="0.25">
      <c r="A268" s="57"/>
    </row>
    <row r="269" spans="1:1" ht="15.75" customHeight="1" x14ac:dyDescent="0.25">
      <c r="A269" s="57"/>
    </row>
    <row r="270" spans="1:1" ht="15.75" customHeight="1" x14ac:dyDescent="0.25">
      <c r="A270" s="57"/>
    </row>
    <row r="271" spans="1:1" ht="15.75" customHeight="1" x14ac:dyDescent="0.25">
      <c r="A271" s="57"/>
    </row>
    <row r="272" spans="1:1" ht="15.75" customHeight="1" x14ac:dyDescent="0.25">
      <c r="A272" s="57"/>
    </row>
    <row r="273" spans="1:1" ht="15.75" customHeight="1" x14ac:dyDescent="0.25">
      <c r="A273" s="57"/>
    </row>
    <row r="274" spans="1:1" ht="15.75" customHeight="1" x14ac:dyDescent="0.25">
      <c r="A274" s="57"/>
    </row>
    <row r="275" spans="1:1" ht="15.75" customHeight="1" x14ac:dyDescent="0.25">
      <c r="A275" s="57"/>
    </row>
    <row r="276" spans="1:1" ht="15.75" customHeight="1" x14ac:dyDescent="0.25">
      <c r="A276" s="57"/>
    </row>
    <row r="277" spans="1:1" ht="15.75" customHeight="1" x14ac:dyDescent="0.25">
      <c r="A277" s="57"/>
    </row>
    <row r="278" spans="1:1" ht="15.75" customHeight="1" x14ac:dyDescent="0.25">
      <c r="A278" s="57"/>
    </row>
    <row r="279" spans="1:1" ht="15.75" customHeight="1" x14ac:dyDescent="0.25">
      <c r="A279" s="57"/>
    </row>
    <row r="280" spans="1:1" ht="15.75" customHeight="1" x14ac:dyDescent="0.25">
      <c r="A280" s="57"/>
    </row>
    <row r="281" spans="1:1" ht="15.75" customHeight="1" x14ac:dyDescent="0.25">
      <c r="A281" s="57"/>
    </row>
    <row r="282" spans="1:1" ht="15.75" customHeight="1" x14ac:dyDescent="0.25">
      <c r="A282" s="57"/>
    </row>
    <row r="283" spans="1:1" ht="15.75" customHeight="1" x14ac:dyDescent="0.25">
      <c r="A283" s="57"/>
    </row>
    <row r="284" spans="1:1" ht="15.75" customHeight="1" x14ac:dyDescent="0.25">
      <c r="A284" s="57"/>
    </row>
    <row r="285" spans="1:1" ht="15.75" customHeight="1" x14ac:dyDescent="0.25">
      <c r="A285" s="57"/>
    </row>
    <row r="286" spans="1:1" ht="15.75" customHeight="1" x14ac:dyDescent="0.25">
      <c r="A286" s="57"/>
    </row>
    <row r="287" spans="1:1" ht="15.75" customHeight="1" x14ac:dyDescent="0.25">
      <c r="A287" s="57"/>
    </row>
    <row r="288" spans="1:1" ht="15.75" customHeight="1" x14ac:dyDescent="0.25">
      <c r="A288" s="57"/>
    </row>
    <row r="289" spans="1:1" ht="15.75" customHeight="1" x14ac:dyDescent="0.25">
      <c r="A289" s="57"/>
    </row>
    <row r="290" spans="1:1" ht="15.75" customHeight="1" x14ac:dyDescent="0.25">
      <c r="A290" s="57"/>
    </row>
    <row r="291" spans="1:1" ht="15.75" customHeight="1" x14ac:dyDescent="0.25">
      <c r="A291" s="57"/>
    </row>
    <row r="292" spans="1:1" ht="15.75" customHeight="1" x14ac:dyDescent="0.25">
      <c r="A292" s="57"/>
    </row>
    <row r="293" spans="1:1" ht="15.75" customHeight="1" x14ac:dyDescent="0.25">
      <c r="A293" s="57"/>
    </row>
    <row r="294" spans="1:1" ht="15.75" customHeight="1" x14ac:dyDescent="0.25">
      <c r="A294" s="57"/>
    </row>
    <row r="295" spans="1:1" ht="15.75" customHeight="1" x14ac:dyDescent="0.25">
      <c r="A295" s="57"/>
    </row>
    <row r="296" spans="1:1" ht="15.75" customHeight="1" x14ac:dyDescent="0.25">
      <c r="A296" s="57"/>
    </row>
    <row r="297" spans="1:1" ht="15.75" customHeight="1" x14ac:dyDescent="0.25">
      <c r="A297" s="57"/>
    </row>
    <row r="298" spans="1:1" ht="15.75" customHeight="1" x14ac:dyDescent="0.25">
      <c r="A298" s="57"/>
    </row>
    <row r="299" spans="1:1" ht="15.75" customHeight="1" x14ac:dyDescent="0.25">
      <c r="A299" s="57"/>
    </row>
    <row r="300" spans="1:1" ht="15.75" customHeight="1" x14ac:dyDescent="0.25">
      <c r="A300" s="57"/>
    </row>
    <row r="301" spans="1:1" ht="15.75" customHeight="1" x14ac:dyDescent="0.25">
      <c r="A301" s="57"/>
    </row>
    <row r="302" spans="1:1" ht="15.75" customHeight="1" x14ac:dyDescent="0.25">
      <c r="A302" s="57"/>
    </row>
    <row r="303" spans="1:1" ht="15.75" customHeight="1" x14ac:dyDescent="0.25">
      <c r="A303" s="57"/>
    </row>
    <row r="304" spans="1:1" ht="15.75" customHeight="1" x14ac:dyDescent="0.25">
      <c r="A304" s="57"/>
    </row>
    <row r="305" spans="1:1" ht="15.75" customHeight="1" x14ac:dyDescent="0.25">
      <c r="A305" s="57"/>
    </row>
    <row r="306" spans="1:1" ht="15.75" customHeight="1" x14ac:dyDescent="0.25">
      <c r="A306" s="57"/>
    </row>
    <row r="307" spans="1:1" ht="15.75" customHeight="1" x14ac:dyDescent="0.25">
      <c r="A307" s="57"/>
    </row>
    <row r="308" spans="1:1" ht="15.75" customHeight="1" x14ac:dyDescent="0.25">
      <c r="A308" s="57"/>
    </row>
    <row r="309" spans="1:1" ht="15.75" customHeight="1" x14ac:dyDescent="0.25">
      <c r="A309" s="57"/>
    </row>
    <row r="310" spans="1:1" ht="15.75" customHeight="1" x14ac:dyDescent="0.25">
      <c r="A310" s="57"/>
    </row>
    <row r="311" spans="1:1" ht="15.75" customHeight="1" x14ac:dyDescent="0.25">
      <c r="A311" s="57"/>
    </row>
    <row r="312" spans="1:1" ht="15.75" customHeight="1" x14ac:dyDescent="0.25">
      <c r="A312" s="57"/>
    </row>
    <row r="313" spans="1:1" ht="15.75" customHeight="1" x14ac:dyDescent="0.25">
      <c r="A313" s="57"/>
    </row>
    <row r="314" spans="1:1" ht="15.75" customHeight="1" x14ac:dyDescent="0.25">
      <c r="A314" s="57"/>
    </row>
    <row r="315" spans="1:1" ht="15.75" customHeight="1" x14ac:dyDescent="0.25">
      <c r="A315" s="57"/>
    </row>
    <row r="316" spans="1:1" ht="15.75" customHeight="1" x14ac:dyDescent="0.25">
      <c r="A316" s="57"/>
    </row>
    <row r="317" spans="1:1" ht="15.75" customHeight="1" x14ac:dyDescent="0.25">
      <c r="A317" s="57"/>
    </row>
    <row r="318" spans="1:1" ht="15.75" customHeight="1" x14ac:dyDescent="0.25">
      <c r="A318" s="57"/>
    </row>
    <row r="319" spans="1:1" ht="15.75" customHeight="1" x14ac:dyDescent="0.25">
      <c r="A319" s="57"/>
    </row>
    <row r="320" spans="1:1" ht="15.75" customHeight="1" x14ac:dyDescent="0.25">
      <c r="A320" s="57"/>
    </row>
    <row r="321" spans="1:1" ht="15.75" customHeight="1" x14ac:dyDescent="0.25">
      <c r="A321" s="57"/>
    </row>
    <row r="322" spans="1:1" ht="15.75" customHeight="1" x14ac:dyDescent="0.25">
      <c r="A322" s="57"/>
    </row>
    <row r="323" spans="1:1" ht="15.75" customHeight="1" x14ac:dyDescent="0.25">
      <c r="A323" s="57"/>
    </row>
    <row r="324" spans="1:1" ht="15.75" customHeight="1" x14ac:dyDescent="0.25">
      <c r="A324" s="57"/>
    </row>
    <row r="325" spans="1:1" ht="15.75" customHeight="1" x14ac:dyDescent="0.25">
      <c r="A325" s="57"/>
    </row>
    <row r="326" spans="1:1" ht="15.75" customHeight="1" x14ac:dyDescent="0.25">
      <c r="A326" s="57"/>
    </row>
    <row r="327" spans="1:1" ht="15.75" customHeight="1" x14ac:dyDescent="0.25">
      <c r="A327" s="57"/>
    </row>
    <row r="328" spans="1:1" ht="15.75" customHeight="1" x14ac:dyDescent="0.25">
      <c r="A328" s="57"/>
    </row>
    <row r="329" spans="1:1" ht="15.75" customHeight="1" x14ac:dyDescent="0.25">
      <c r="A329" s="57"/>
    </row>
    <row r="330" spans="1:1" ht="15.75" customHeight="1" x14ac:dyDescent="0.25">
      <c r="A330" s="57"/>
    </row>
    <row r="331" spans="1:1" ht="15.75" customHeight="1" x14ac:dyDescent="0.25">
      <c r="A331" s="57"/>
    </row>
    <row r="332" spans="1:1" ht="15.75" customHeight="1" x14ac:dyDescent="0.25">
      <c r="A332" s="57"/>
    </row>
    <row r="333" spans="1:1" ht="15.75" customHeight="1" x14ac:dyDescent="0.25">
      <c r="A333" s="57"/>
    </row>
    <row r="334" spans="1:1" ht="15.75" customHeight="1" x14ac:dyDescent="0.25">
      <c r="A334" s="57"/>
    </row>
    <row r="335" spans="1:1" ht="15.75" customHeight="1" x14ac:dyDescent="0.25">
      <c r="A335" s="57"/>
    </row>
    <row r="336" spans="1:1" ht="15.75" customHeight="1" x14ac:dyDescent="0.25">
      <c r="A336" s="57"/>
    </row>
    <row r="337" spans="1:1" ht="15.75" customHeight="1" x14ac:dyDescent="0.25">
      <c r="A337" s="57"/>
    </row>
    <row r="338" spans="1:1" ht="15.75" customHeight="1" x14ac:dyDescent="0.25">
      <c r="A338" s="57"/>
    </row>
    <row r="339" spans="1:1" ht="15.75" customHeight="1" x14ac:dyDescent="0.25">
      <c r="A339" s="57"/>
    </row>
    <row r="340" spans="1:1" ht="15.75" customHeight="1" x14ac:dyDescent="0.25">
      <c r="A340" s="57"/>
    </row>
    <row r="341" spans="1:1" ht="15.75" customHeight="1" x14ac:dyDescent="0.25">
      <c r="A341" s="57"/>
    </row>
    <row r="342" spans="1:1" ht="15.75" customHeight="1" x14ac:dyDescent="0.25">
      <c r="A342" s="57"/>
    </row>
    <row r="343" spans="1:1" ht="15.75" customHeight="1" x14ac:dyDescent="0.25">
      <c r="A343" s="57"/>
    </row>
    <row r="344" spans="1:1" ht="15.75" customHeight="1" x14ac:dyDescent="0.25">
      <c r="A344" s="57"/>
    </row>
    <row r="345" spans="1:1" ht="15.75" customHeight="1" x14ac:dyDescent="0.25">
      <c r="A345" s="57"/>
    </row>
    <row r="346" spans="1:1" ht="15.75" customHeight="1" x14ac:dyDescent="0.25">
      <c r="A346" s="57"/>
    </row>
    <row r="347" spans="1:1" ht="15.75" customHeight="1" x14ac:dyDescent="0.25">
      <c r="A347" s="57"/>
    </row>
    <row r="348" spans="1:1" ht="15.75" customHeight="1" x14ac:dyDescent="0.25">
      <c r="A348" s="57"/>
    </row>
    <row r="349" spans="1:1" ht="15.75" customHeight="1" x14ac:dyDescent="0.25">
      <c r="A349" s="57"/>
    </row>
    <row r="350" spans="1:1" ht="15.75" customHeight="1" x14ac:dyDescent="0.25">
      <c r="A350" s="57"/>
    </row>
    <row r="351" spans="1:1" ht="15.75" customHeight="1" x14ac:dyDescent="0.25">
      <c r="A351" s="57"/>
    </row>
    <row r="352" spans="1:1" ht="15.75" customHeight="1" x14ac:dyDescent="0.25">
      <c r="A352" s="57"/>
    </row>
    <row r="353" spans="1:1" ht="15.75" customHeight="1" x14ac:dyDescent="0.25">
      <c r="A353" s="57"/>
    </row>
    <row r="354" spans="1:1" ht="15.75" customHeight="1" x14ac:dyDescent="0.25">
      <c r="A354" s="57"/>
    </row>
    <row r="355" spans="1:1" ht="15.75" customHeight="1" x14ac:dyDescent="0.25">
      <c r="A355" s="57"/>
    </row>
    <row r="356" spans="1:1" ht="15.75" customHeight="1" x14ac:dyDescent="0.25">
      <c r="A356" s="57"/>
    </row>
    <row r="357" spans="1:1" ht="15.75" customHeight="1" x14ac:dyDescent="0.25">
      <c r="A357" s="57"/>
    </row>
    <row r="358" spans="1:1" ht="15.75" customHeight="1" x14ac:dyDescent="0.25">
      <c r="A358" s="57"/>
    </row>
    <row r="359" spans="1:1" ht="15.75" customHeight="1" x14ac:dyDescent="0.25">
      <c r="A359" s="57"/>
    </row>
    <row r="360" spans="1:1" ht="15.75" customHeight="1" x14ac:dyDescent="0.25">
      <c r="A360" s="57"/>
    </row>
    <row r="361" spans="1:1" ht="15.75" customHeight="1" x14ac:dyDescent="0.25">
      <c r="A361" s="57"/>
    </row>
    <row r="362" spans="1:1" ht="15.75" customHeight="1" x14ac:dyDescent="0.25">
      <c r="A362" s="57"/>
    </row>
    <row r="363" spans="1:1" ht="15.75" customHeight="1" x14ac:dyDescent="0.25">
      <c r="A363" s="57"/>
    </row>
    <row r="364" spans="1:1" ht="15.75" customHeight="1" x14ac:dyDescent="0.25">
      <c r="A364" s="57"/>
    </row>
    <row r="365" spans="1:1" ht="15.75" customHeight="1" x14ac:dyDescent="0.25">
      <c r="A365" s="57"/>
    </row>
    <row r="366" spans="1:1" ht="15.75" customHeight="1" x14ac:dyDescent="0.25">
      <c r="A366" s="57"/>
    </row>
    <row r="367" spans="1:1" ht="15.75" customHeight="1" x14ac:dyDescent="0.25">
      <c r="A367" s="57"/>
    </row>
    <row r="368" spans="1:1" ht="15.75" customHeight="1" x14ac:dyDescent="0.25">
      <c r="A368" s="57"/>
    </row>
    <row r="369" spans="1:1" ht="15.75" customHeight="1" x14ac:dyDescent="0.25">
      <c r="A369" s="57"/>
    </row>
    <row r="370" spans="1:1" ht="15.75" customHeight="1" x14ac:dyDescent="0.25">
      <c r="A370" s="57"/>
    </row>
    <row r="371" spans="1:1" ht="15.75" customHeight="1" x14ac:dyDescent="0.25">
      <c r="A371" s="57"/>
    </row>
    <row r="372" spans="1:1" ht="15.75" customHeight="1" x14ac:dyDescent="0.25">
      <c r="A372" s="57"/>
    </row>
    <row r="373" spans="1:1" ht="15.75" customHeight="1" x14ac:dyDescent="0.25">
      <c r="A373" s="57"/>
    </row>
    <row r="374" spans="1:1" ht="15.75" customHeight="1" x14ac:dyDescent="0.25">
      <c r="A374" s="57"/>
    </row>
    <row r="375" spans="1:1" ht="15.75" customHeight="1" x14ac:dyDescent="0.25">
      <c r="A375" s="57"/>
    </row>
    <row r="376" spans="1:1" ht="15.75" customHeight="1" x14ac:dyDescent="0.25">
      <c r="A376" s="57"/>
    </row>
    <row r="377" spans="1:1" ht="15.75" customHeight="1" x14ac:dyDescent="0.25">
      <c r="A377" s="57"/>
    </row>
    <row r="378" spans="1:1" ht="15.75" customHeight="1" x14ac:dyDescent="0.25">
      <c r="A378" s="57"/>
    </row>
    <row r="379" spans="1:1" ht="15.75" customHeight="1" x14ac:dyDescent="0.25">
      <c r="A379" s="57"/>
    </row>
    <row r="380" spans="1:1" ht="15.75" customHeight="1" x14ac:dyDescent="0.25">
      <c r="A380" s="57"/>
    </row>
    <row r="381" spans="1:1" ht="15.75" customHeight="1" x14ac:dyDescent="0.25">
      <c r="A381" s="57"/>
    </row>
    <row r="382" spans="1:1" ht="15.75" customHeight="1" x14ac:dyDescent="0.25">
      <c r="A382" s="57"/>
    </row>
    <row r="383" spans="1:1" ht="15.75" customHeight="1" x14ac:dyDescent="0.25">
      <c r="A383" s="57"/>
    </row>
    <row r="384" spans="1:1" ht="15.75" customHeight="1" x14ac:dyDescent="0.25">
      <c r="A384" s="57"/>
    </row>
    <row r="385" spans="1:1" ht="15.75" customHeight="1" x14ac:dyDescent="0.25">
      <c r="A385" s="57"/>
    </row>
    <row r="386" spans="1:1" ht="15.75" customHeight="1" x14ac:dyDescent="0.25">
      <c r="A386" s="57"/>
    </row>
    <row r="387" spans="1:1" ht="15.75" customHeight="1" x14ac:dyDescent="0.25">
      <c r="A387" s="57"/>
    </row>
    <row r="388" spans="1:1" ht="15.75" customHeight="1" x14ac:dyDescent="0.25">
      <c r="A388" s="57"/>
    </row>
    <row r="389" spans="1:1" ht="15.75" customHeight="1" x14ac:dyDescent="0.25">
      <c r="A389" s="57"/>
    </row>
    <row r="390" spans="1:1" ht="15.75" customHeight="1" x14ac:dyDescent="0.25">
      <c r="A390" s="57"/>
    </row>
    <row r="391" spans="1:1" ht="15.75" customHeight="1" x14ac:dyDescent="0.25">
      <c r="A391" s="57"/>
    </row>
    <row r="392" spans="1:1" ht="15.75" customHeight="1" x14ac:dyDescent="0.25">
      <c r="A392" s="57"/>
    </row>
    <row r="393" spans="1:1" ht="15.75" customHeight="1" x14ac:dyDescent="0.25">
      <c r="A393" s="57"/>
    </row>
    <row r="394" spans="1:1" ht="15.75" customHeight="1" x14ac:dyDescent="0.25">
      <c r="A394" s="57"/>
    </row>
    <row r="395" spans="1:1" ht="15.75" customHeight="1" x14ac:dyDescent="0.25">
      <c r="A395" s="57"/>
    </row>
    <row r="396" spans="1:1" ht="15.75" customHeight="1" x14ac:dyDescent="0.25">
      <c r="A396" s="57"/>
    </row>
    <row r="397" spans="1:1" ht="15.75" customHeight="1" x14ac:dyDescent="0.25">
      <c r="A397" s="57"/>
    </row>
    <row r="398" spans="1:1" ht="15.75" customHeight="1" x14ac:dyDescent="0.25">
      <c r="A398" s="57"/>
    </row>
    <row r="399" spans="1:1" ht="15.75" customHeight="1" x14ac:dyDescent="0.25">
      <c r="A399" s="57"/>
    </row>
    <row r="400" spans="1:1" ht="15.75" customHeight="1" x14ac:dyDescent="0.25">
      <c r="A400" s="57"/>
    </row>
    <row r="401" spans="1:1" ht="15.75" customHeight="1" x14ac:dyDescent="0.25">
      <c r="A401" s="57"/>
    </row>
    <row r="402" spans="1:1" ht="15.75" customHeight="1" x14ac:dyDescent="0.25">
      <c r="A402" s="57"/>
    </row>
    <row r="403" spans="1:1" ht="15.75" customHeight="1" x14ac:dyDescent="0.25">
      <c r="A403" s="57"/>
    </row>
    <row r="404" spans="1:1" ht="15.75" customHeight="1" x14ac:dyDescent="0.25">
      <c r="A404" s="57"/>
    </row>
    <row r="405" spans="1:1" ht="15.75" customHeight="1" x14ac:dyDescent="0.25">
      <c r="A405" s="57"/>
    </row>
    <row r="406" spans="1:1" ht="15.75" customHeight="1" x14ac:dyDescent="0.25">
      <c r="A406" s="57"/>
    </row>
    <row r="407" spans="1:1" ht="15.75" customHeight="1" x14ac:dyDescent="0.25">
      <c r="A407" s="57"/>
    </row>
    <row r="408" spans="1:1" ht="15.75" customHeight="1" x14ac:dyDescent="0.25">
      <c r="A408" s="57"/>
    </row>
    <row r="409" spans="1:1" ht="15.75" customHeight="1" x14ac:dyDescent="0.25">
      <c r="A409" s="57"/>
    </row>
    <row r="410" spans="1:1" ht="15.75" customHeight="1" x14ac:dyDescent="0.25">
      <c r="A410" s="57"/>
    </row>
    <row r="411" spans="1:1" ht="15.75" customHeight="1" x14ac:dyDescent="0.25">
      <c r="A411" s="57"/>
    </row>
    <row r="412" spans="1:1" ht="15.75" customHeight="1" x14ac:dyDescent="0.25">
      <c r="A412" s="57"/>
    </row>
    <row r="413" spans="1:1" ht="15.75" customHeight="1" x14ac:dyDescent="0.25">
      <c r="A413" s="57"/>
    </row>
    <row r="414" spans="1:1" ht="15.75" customHeight="1" x14ac:dyDescent="0.25">
      <c r="A414" s="57"/>
    </row>
    <row r="415" spans="1:1" ht="15.75" customHeight="1" x14ac:dyDescent="0.25">
      <c r="A415" s="57"/>
    </row>
    <row r="416" spans="1:1" ht="15.75" customHeight="1" x14ac:dyDescent="0.25">
      <c r="A416" s="57"/>
    </row>
    <row r="417" spans="1:1" ht="15.75" customHeight="1" x14ac:dyDescent="0.25">
      <c r="A417" s="57"/>
    </row>
    <row r="418" spans="1:1" ht="15.75" customHeight="1" x14ac:dyDescent="0.25">
      <c r="A418" s="57"/>
    </row>
    <row r="419" spans="1:1" ht="15.75" customHeight="1" x14ac:dyDescent="0.25">
      <c r="A419" s="57"/>
    </row>
    <row r="420" spans="1:1" ht="15.75" customHeight="1" x14ac:dyDescent="0.25">
      <c r="A420" s="57"/>
    </row>
    <row r="421" spans="1:1" ht="15.75" customHeight="1" x14ac:dyDescent="0.25">
      <c r="A421" s="57"/>
    </row>
    <row r="422" spans="1:1" ht="15.75" customHeight="1" x14ac:dyDescent="0.25">
      <c r="A422" s="57"/>
    </row>
    <row r="423" spans="1:1" ht="15.75" customHeight="1" x14ac:dyDescent="0.25">
      <c r="A423" s="57"/>
    </row>
    <row r="424" spans="1:1" ht="15.75" customHeight="1" x14ac:dyDescent="0.25">
      <c r="A424" s="57"/>
    </row>
    <row r="425" spans="1:1" ht="15.75" customHeight="1" x14ac:dyDescent="0.25">
      <c r="A425" s="57"/>
    </row>
    <row r="426" spans="1:1" ht="15.75" customHeight="1" x14ac:dyDescent="0.25">
      <c r="A426" s="57"/>
    </row>
    <row r="427" spans="1:1" ht="15.75" customHeight="1" x14ac:dyDescent="0.25">
      <c r="A427" s="57"/>
    </row>
    <row r="428" spans="1:1" ht="15.75" customHeight="1" x14ac:dyDescent="0.25">
      <c r="A428" s="57"/>
    </row>
    <row r="429" spans="1:1" ht="15.75" customHeight="1" x14ac:dyDescent="0.25">
      <c r="A429" s="57"/>
    </row>
    <row r="430" spans="1:1" ht="15.75" customHeight="1" x14ac:dyDescent="0.25">
      <c r="A430" s="57"/>
    </row>
    <row r="431" spans="1:1" ht="15.75" customHeight="1" x14ac:dyDescent="0.25">
      <c r="A431" s="57"/>
    </row>
    <row r="432" spans="1:1" ht="15.75" customHeight="1" x14ac:dyDescent="0.25">
      <c r="A432" s="57"/>
    </row>
    <row r="433" spans="1:1" ht="15.75" customHeight="1" x14ac:dyDescent="0.25">
      <c r="A433" s="57"/>
    </row>
    <row r="434" spans="1:1" ht="15.75" customHeight="1" x14ac:dyDescent="0.25">
      <c r="A434" s="57"/>
    </row>
    <row r="435" spans="1:1" ht="15.75" customHeight="1" x14ac:dyDescent="0.25">
      <c r="A435" s="57"/>
    </row>
    <row r="436" spans="1:1" ht="15.75" customHeight="1" x14ac:dyDescent="0.25">
      <c r="A436" s="57"/>
    </row>
    <row r="437" spans="1:1" ht="15.75" customHeight="1" x14ac:dyDescent="0.25">
      <c r="A437" s="57"/>
    </row>
    <row r="438" spans="1:1" ht="15.75" customHeight="1" x14ac:dyDescent="0.25">
      <c r="A438" s="57"/>
    </row>
    <row r="439" spans="1:1" ht="15.75" customHeight="1" x14ac:dyDescent="0.25">
      <c r="A439" s="57"/>
    </row>
    <row r="440" spans="1:1" ht="15.75" customHeight="1" x14ac:dyDescent="0.25">
      <c r="A440" s="57"/>
    </row>
    <row r="441" spans="1:1" ht="15.75" customHeight="1" x14ac:dyDescent="0.25">
      <c r="A441" s="57"/>
    </row>
    <row r="442" spans="1:1" ht="15.75" customHeight="1" x14ac:dyDescent="0.25">
      <c r="A442" s="57"/>
    </row>
    <row r="443" spans="1:1" ht="15.75" customHeight="1" x14ac:dyDescent="0.25">
      <c r="A443" s="57"/>
    </row>
    <row r="444" spans="1:1" ht="15.75" customHeight="1" x14ac:dyDescent="0.25">
      <c r="A444" s="57"/>
    </row>
    <row r="445" spans="1:1" ht="15.75" customHeight="1" x14ac:dyDescent="0.25">
      <c r="A445" s="57"/>
    </row>
    <row r="446" spans="1:1" ht="15.75" customHeight="1" x14ac:dyDescent="0.25">
      <c r="A446" s="57"/>
    </row>
    <row r="447" spans="1:1" ht="15.75" customHeight="1" x14ac:dyDescent="0.25">
      <c r="A447" s="57"/>
    </row>
    <row r="448" spans="1:1" ht="15.75" customHeight="1" x14ac:dyDescent="0.25">
      <c r="A448" s="57"/>
    </row>
    <row r="449" spans="1:1" ht="15.75" customHeight="1" x14ac:dyDescent="0.25">
      <c r="A449" s="57"/>
    </row>
    <row r="450" spans="1:1" ht="15.75" customHeight="1" x14ac:dyDescent="0.25">
      <c r="A450" s="57"/>
    </row>
    <row r="451" spans="1:1" ht="15.75" customHeight="1" x14ac:dyDescent="0.25">
      <c r="A451" s="57"/>
    </row>
    <row r="452" spans="1:1" ht="15.75" customHeight="1" x14ac:dyDescent="0.25">
      <c r="A452" s="57"/>
    </row>
    <row r="453" spans="1:1" ht="15.75" customHeight="1" x14ac:dyDescent="0.25">
      <c r="A453" s="57"/>
    </row>
    <row r="454" spans="1:1" ht="15.75" customHeight="1" x14ac:dyDescent="0.25">
      <c r="A454" s="57"/>
    </row>
    <row r="455" spans="1:1" ht="15.75" customHeight="1" x14ac:dyDescent="0.25">
      <c r="A455" s="57"/>
    </row>
    <row r="456" spans="1:1" ht="15.75" customHeight="1" x14ac:dyDescent="0.25">
      <c r="A456" s="57"/>
    </row>
    <row r="457" spans="1:1" ht="15.75" customHeight="1" x14ac:dyDescent="0.25">
      <c r="A457" s="57"/>
    </row>
    <row r="458" spans="1:1" ht="15.75" customHeight="1" x14ac:dyDescent="0.25">
      <c r="A458" s="57"/>
    </row>
    <row r="459" spans="1:1" ht="15.75" customHeight="1" x14ac:dyDescent="0.25">
      <c r="A459" s="57"/>
    </row>
    <row r="460" spans="1:1" ht="15.75" customHeight="1" x14ac:dyDescent="0.25">
      <c r="A460" s="57"/>
    </row>
    <row r="461" spans="1:1" ht="15.75" customHeight="1" x14ac:dyDescent="0.25">
      <c r="A461" s="57"/>
    </row>
    <row r="462" spans="1:1" ht="15.75" customHeight="1" x14ac:dyDescent="0.25">
      <c r="A462" s="57"/>
    </row>
    <row r="463" spans="1:1" ht="15.75" customHeight="1" x14ac:dyDescent="0.25">
      <c r="A463" s="57"/>
    </row>
    <row r="464" spans="1:1" ht="15.75" customHeight="1" x14ac:dyDescent="0.25">
      <c r="A464" s="57"/>
    </row>
    <row r="465" spans="1:1" ht="15.75" customHeight="1" x14ac:dyDescent="0.25">
      <c r="A465" s="57"/>
    </row>
    <row r="466" spans="1:1" ht="15.75" customHeight="1" x14ac:dyDescent="0.25">
      <c r="A466" s="57"/>
    </row>
    <row r="467" spans="1:1" ht="15.75" customHeight="1" x14ac:dyDescent="0.25">
      <c r="A467" s="57"/>
    </row>
    <row r="468" spans="1:1" ht="15.75" customHeight="1" x14ac:dyDescent="0.25">
      <c r="A468" s="57"/>
    </row>
    <row r="469" spans="1:1" ht="15.75" customHeight="1" x14ac:dyDescent="0.25">
      <c r="A469" s="57"/>
    </row>
    <row r="470" spans="1:1" ht="15.75" customHeight="1" x14ac:dyDescent="0.25">
      <c r="A470" s="57"/>
    </row>
    <row r="471" spans="1:1" ht="15.75" customHeight="1" x14ac:dyDescent="0.25">
      <c r="A471" s="57"/>
    </row>
    <row r="472" spans="1:1" ht="15.75" customHeight="1" x14ac:dyDescent="0.25">
      <c r="A472" s="57"/>
    </row>
    <row r="473" spans="1:1" ht="15.75" customHeight="1" x14ac:dyDescent="0.25">
      <c r="A473" s="57"/>
    </row>
    <row r="474" spans="1:1" ht="15.75" customHeight="1" x14ac:dyDescent="0.25">
      <c r="A474" s="57"/>
    </row>
    <row r="475" spans="1:1" ht="15.75" customHeight="1" x14ac:dyDescent="0.25">
      <c r="A475" s="57"/>
    </row>
    <row r="476" spans="1:1" ht="15.75" customHeight="1" x14ac:dyDescent="0.25">
      <c r="A476" s="57"/>
    </row>
    <row r="477" spans="1:1" ht="15.75" customHeight="1" x14ac:dyDescent="0.25">
      <c r="A477" s="57"/>
    </row>
    <row r="478" spans="1:1" ht="15.75" customHeight="1" x14ac:dyDescent="0.25">
      <c r="A478" s="57"/>
    </row>
    <row r="479" spans="1:1" ht="15.75" customHeight="1" x14ac:dyDescent="0.25">
      <c r="A479" s="57"/>
    </row>
    <row r="480" spans="1:1" ht="15.75" customHeight="1" x14ac:dyDescent="0.25">
      <c r="A480" s="57"/>
    </row>
    <row r="481" spans="1:1" ht="15.75" customHeight="1" x14ac:dyDescent="0.25">
      <c r="A481" s="57"/>
    </row>
    <row r="482" spans="1:1" ht="15.75" customHeight="1" x14ac:dyDescent="0.25">
      <c r="A482" s="57"/>
    </row>
    <row r="483" spans="1:1" ht="15.75" customHeight="1" x14ac:dyDescent="0.25">
      <c r="A483" s="57"/>
    </row>
    <row r="484" spans="1:1" ht="15.75" customHeight="1" x14ac:dyDescent="0.25">
      <c r="A484" s="57"/>
    </row>
    <row r="485" spans="1:1" ht="15.75" customHeight="1" x14ac:dyDescent="0.25">
      <c r="A485" s="57"/>
    </row>
    <row r="486" spans="1:1" ht="15.75" customHeight="1" x14ac:dyDescent="0.25">
      <c r="A486" s="57"/>
    </row>
    <row r="487" spans="1:1" ht="15.75" customHeight="1" x14ac:dyDescent="0.25">
      <c r="A487" s="57"/>
    </row>
    <row r="488" spans="1:1" ht="15.75" customHeight="1" x14ac:dyDescent="0.25">
      <c r="A488" s="57"/>
    </row>
    <row r="489" spans="1:1" ht="15.75" customHeight="1" x14ac:dyDescent="0.25">
      <c r="A489" s="57"/>
    </row>
    <row r="490" spans="1:1" ht="15.75" customHeight="1" x14ac:dyDescent="0.25">
      <c r="A490" s="57"/>
    </row>
    <row r="491" spans="1:1" ht="15.75" customHeight="1" x14ac:dyDescent="0.25">
      <c r="A491" s="57"/>
    </row>
    <row r="492" spans="1:1" ht="15.75" customHeight="1" x14ac:dyDescent="0.25">
      <c r="A492" s="57"/>
    </row>
    <row r="493" spans="1:1" ht="15.75" customHeight="1" x14ac:dyDescent="0.25">
      <c r="A493" s="57"/>
    </row>
    <row r="494" spans="1:1" ht="15.75" customHeight="1" x14ac:dyDescent="0.25">
      <c r="A494" s="57"/>
    </row>
    <row r="495" spans="1:1" ht="15.75" customHeight="1" x14ac:dyDescent="0.25">
      <c r="A495" s="57"/>
    </row>
    <row r="496" spans="1:1" ht="15.75" customHeight="1" x14ac:dyDescent="0.25">
      <c r="A496" s="57"/>
    </row>
    <row r="497" spans="1:1" ht="15.75" customHeight="1" x14ac:dyDescent="0.25">
      <c r="A497" s="57"/>
    </row>
    <row r="498" spans="1:1" ht="15.75" customHeight="1" x14ac:dyDescent="0.25">
      <c r="A498" s="57"/>
    </row>
    <row r="499" spans="1:1" ht="15.75" customHeight="1" x14ac:dyDescent="0.25">
      <c r="A499" s="57"/>
    </row>
    <row r="500" spans="1:1" ht="15.75" customHeight="1" x14ac:dyDescent="0.25">
      <c r="A500" s="57"/>
    </row>
    <row r="501" spans="1:1" ht="15.75" customHeight="1" x14ac:dyDescent="0.25">
      <c r="A501" s="57"/>
    </row>
    <row r="502" spans="1:1" ht="15.75" customHeight="1" x14ac:dyDescent="0.25">
      <c r="A502" s="57"/>
    </row>
    <row r="503" spans="1:1" ht="15.75" customHeight="1" x14ac:dyDescent="0.25">
      <c r="A503" s="57"/>
    </row>
    <row r="504" spans="1:1" ht="15.75" customHeight="1" x14ac:dyDescent="0.25">
      <c r="A504" s="57"/>
    </row>
    <row r="505" spans="1:1" ht="15.75" customHeight="1" x14ac:dyDescent="0.25">
      <c r="A505" s="57"/>
    </row>
    <row r="506" spans="1:1" ht="15.75" customHeight="1" x14ac:dyDescent="0.25">
      <c r="A506" s="57"/>
    </row>
    <row r="507" spans="1:1" ht="15.75" customHeight="1" x14ac:dyDescent="0.25">
      <c r="A507" s="57"/>
    </row>
    <row r="508" spans="1:1" ht="15.75" customHeight="1" x14ac:dyDescent="0.25">
      <c r="A508" s="57"/>
    </row>
    <row r="509" spans="1:1" ht="15.75" customHeight="1" x14ac:dyDescent="0.25">
      <c r="A509" s="57"/>
    </row>
    <row r="510" spans="1:1" ht="15.75" customHeight="1" x14ac:dyDescent="0.25">
      <c r="A510" s="57"/>
    </row>
    <row r="511" spans="1:1" ht="15.75" customHeight="1" x14ac:dyDescent="0.25">
      <c r="A511" s="57"/>
    </row>
    <row r="512" spans="1:1" ht="15.75" customHeight="1" x14ac:dyDescent="0.25">
      <c r="A512" s="57"/>
    </row>
    <row r="513" spans="1:1" ht="15.75" customHeight="1" x14ac:dyDescent="0.25">
      <c r="A513" s="57"/>
    </row>
    <row r="514" spans="1:1" ht="15.75" customHeight="1" x14ac:dyDescent="0.25">
      <c r="A514" s="57"/>
    </row>
    <row r="515" spans="1:1" ht="15.75" customHeight="1" x14ac:dyDescent="0.25">
      <c r="A515" s="57"/>
    </row>
    <row r="516" spans="1:1" ht="15.75" customHeight="1" x14ac:dyDescent="0.25">
      <c r="A516" s="57"/>
    </row>
    <row r="517" spans="1:1" ht="15.75" customHeight="1" x14ac:dyDescent="0.25">
      <c r="A517" s="57"/>
    </row>
    <row r="518" spans="1:1" ht="15.75" customHeight="1" x14ac:dyDescent="0.25">
      <c r="A518" s="57"/>
    </row>
    <row r="519" spans="1:1" ht="15.75" customHeight="1" x14ac:dyDescent="0.25">
      <c r="A519" s="57"/>
    </row>
    <row r="520" spans="1:1" ht="15.75" customHeight="1" x14ac:dyDescent="0.25">
      <c r="A520" s="57"/>
    </row>
    <row r="521" spans="1:1" ht="15.75" customHeight="1" x14ac:dyDescent="0.25">
      <c r="A521" s="57"/>
    </row>
    <row r="522" spans="1:1" ht="15.75" customHeight="1" x14ac:dyDescent="0.25">
      <c r="A522" s="57"/>
    </row>
    <row r="523" spans="1:1" ht="15.75" customHeight="1" x14ac:dyDescent="0.25">
      <c r="A523" s="57"/>
    </row>
    <row r="524" spans="1:1" ht="15.75" customHeight="1" x14ac:dyDescent="0.25">
      <c r="A524" s="57"/>
    </row>
    <row r="525" spans="1:1" ht="15.75" customHeight="1" x14ac:dyDescent="0.25">
      <c r="A525" s="57"/>
    </row>
    <row r="526" spans="1:1" ht="15.75" customHeight="1" x14ac:dyDescent="0.25">
      <c r="A526" s="57"/>
    </row>
    <row r="527" spans="1:1" ht="15.75" customHeight="1" x14ac:dyDescent="0.25">
      <c r="A527" s="57"/>
    </row>
    <row r="528" spans="1:1" ht="15.75" customHeight="1" x14ac:dyDescent="0.25">
      <c r="A528" s="57"/>
    </row>
    <row r="529" spans="1:1" ht="15.75" customHeight="1" x14ac:dyDescent="0.25">
      <c r="A529" s="57"/>
    </row>
    <row r="530" spans="1:1" ht="15.75" customHeight="1" x14ac:dyDescent="0.25">
      <c r="A530" s="57"/>
    </row>
    <row r="531" spans="1:1" ht="15.75" customHeight="1" x14ac:dyDescent="0.25">
      <c r="A531" s="57"/>
    </row>
    <row r="532" spans="1:1" ht="15.75" customHeight="1" x14ac:dyDescent="0.25">
      <c r="A532" s="57"/>
    </row>
    <row r="533" spans="1:1" ht="15.75" customHeight="1" x14ac:dyDescent="0.25">
      <c r="A533" s="57"/>
    </row>
    <row r="534" spans="1:1" ht="15.75" customHeight="1" x14ac:dyDescent="0.25">
      <c r="A534" s="57"/>
    </row>
    <row r="535" spans="1:1" ht="15.75" customHeight="1" x14ac:dyDescent="0.25">
      <c r="A535" s="57"/>
    </row>
    <row r="536" spans="1:1" ht="15.75" customHeight="1" x14ac:dyDescent="0.25">
      <c r="A536" s="57"/>
    </row>
    <row r="537" spans="1:1" ht="15.75" customHeight="1" x14ac:dyDescent="0.25">
      <c r="A537" s="57"/>
    </row>
    <row r="538" spans="1:1" ht="15.75" customHeight="1" x14ac:dyDescent="0.25">
      <c r="A538" s="57"/>
    </row>
    <row r="539" spans="1:1" ht="15.75" customHeight="1" x14ac:dyDescent="0.25">
      <c r="A539" s="57"/>
    </row>
    <row r="540" spans="1:1" ht="15.75" customHeight="1" x14ac:dyDescent="0.25">
      <c r="A540" s="57"/>
    </row>
    <row r="541" spans="1:1" ht="15.75" customHeight="1" x14ac:dyDescent="0.25">
      <c r="A541" s="57"/>
    </row>
    <row r="542" spans="1:1" ht="15.75" customHeight="1" x14ac:dyDescent="0.25">
      <c r="A542" s="57"/>
    </row>
    <row r="543" spans="1:1" ht="15.75" customHeight="1" x14ac:dyDescent="0.25">
      <c r="A543" s="57"/>
    </row>
    <row r="544" spans="1:1" ht="15.75" customHeight="1" x14ac:dyDescent="0.25">
      <c r="A544" s="57"/>
    </row>
    <row r="545" spans="1:1" ht="15.75" customHeight="1" x14ac:dyDescent="0.25">
      <c r="A545" s="57"/>
    </row>
    <row r="546" spans="1:1" ht="15.75" customHeight="1" x14ac:dyDescent="0.25">
      <c r="A546" s="57"/>
    </row>
    <row r="547" spans="1:1" ht="15.75" customHeight="1" x14ac:dyDescent="0.25">
      <c r="A547" s="57"/>
    </row>
    <row r="548" spans="1:1" ht="15.75" customHeight="1" x14ac:dyDescent="0.25">
      <c r="A548" s="57"/>
    </row>
    <row r="549" spans="1:1" ht="15.75" customHeight="1" x14ac:dyDescent="0.25">
      <c r="A549" s="57"/>
    </row>
    <row r="550" spans="1:1" ht="15.75" customHeight="1" x14ac:dyDescent="0.25">
      <c r="A550" s="57"/>
    </row>
    <row r="551" spans="1:1" ht="15.75" customHeight="1" x14ac:dyDescent="0.25">
      <c r="A551" s="57"/>
    </row>
    <row r="552" spans="1:1" ht="15.75" customHeight="1" x14ac:dyDescent="0.25">
      <c r="A552" s="57"/>
    </row>
    <row r="553" spans="1:1" ht="15.75" customHeight="1" x14ac:dyDescent="0.25">
      <c r="A553" s="57"/>
    </row>
    <row r="554" spans="1:1" ht="15.75" customHeight="1" x14ac:dyDescent="0.25">
      <c r="A554" s="57"/>
    </row>
    <row r="555" spans="1:1" ht="15.75" customHeight="1" x14ac:dyDescent="0.25">
      <c r="A555" s="57"/>
    </row>
    <row r="556" spans="1:1" ht="15.75" customHeight="1" x14ac:dyDescent="0.25">
      <c r="A556" s="57"/>
    </row>
    <row r="557" spans="1:1" ht="15.75" customHeight="1" x14ac:dyDescent="0.25">
      <c r="A557" s="57"/>
    </row>
    <row r="558" spans="1:1" ht="15.75" customHeight="1" x14ac:dyDescent="0.25">
      <c r="A558" s="57"/>
    </row>
    <row r="559" spans="1:1" ht="15.75" customHeight="1" x14ac:dyDescent="0.25">
      <c r="A559" s="57"/>
    </row>
    <row r="560" spans="1:1" ht="15.75" customHeight="1" x14ac:dyDescent="0.25">
      <c r="A560" s="57"/>
    </row>
    <row r="561" spans="1:1" ht="15.75" customHeight="1" x14ac:dyDescent="0.25">
      <c r="A561" s="57"/>
    </row>
    <row r="562" spans="1:1" ht="15.75" customHeight="1" x14ac:dyDescent="0.25">
      <c r="A562" s="57"/>
    </row>
    <row r="563" spans="1:1" ht="15.75" customHeight="1" x14ac:dyDescent="0.25">
      <c r="A563" s="57"/>
    </row>
    <row r="564" spans="1:1" ht="15.75" customHeight="1" x14ac:dyDescent="0.25">
      <c r="A564" s="57"/>
    </row>
    <row r="565" spans="1:1" ht="15.75" customHeight="1" x14ac:dyDescent="0.25">
      <c r="A565" s="57"/>
    </row>
    <row r="566" spans="1:1" ht="15.75" customHeight="1" x14ac:dyDescent="0.25">
      <c r="A566" s="57"/>
    </row>
    <row r="567" spans="1:1" ht="15.75" customHeight="1" x14ac:dyDescent="0.25">
      <c r="A567" s="57"/>
    </row>
    <row r="568" spans="1:1" ht="15.75" customHeight="1" x14ac:dyDescent="0.25">
      <c r="A568" s="57"/>
    </row>
    <row r="569" spans="1:1" ht="15.75" customHeight="1" x14ac:dyDescent="0.25">
      <c r="A569" s="57"/>
    </row>
    <row r="570" spans="1:1" ht="15.75" customHeight="1" x14ac:dyDescent="0.25">
      <c r="A570" s="57"/>
    </row>
    <row r="571" spans="1:1" ht="15.75" customHeight="1" x14ac:dyDescent="0.25">
      <c r="A571" s="57"/>
    </row>
    <row r="572" spans="1:1" ht="15.75" customHeight="1" x14ac:dyDescent="0.25">
      <c r="A572" s="57"/>
    </row>
    <row r="573" spans="1:1" ht="15.75" customHeight="1" x14ac:dyDescent="0.25">
      <c r="A573" s="57"/>
    </row>
    <row r="574" spans="1:1" ht="15.75" customHeight="1" x14ac:dyDescent="0.25">
      <c r="A574" s="57"/>
    </row>
    <row r="575" spans="1:1" ht="15.75" customHeight="1" x14ac:dyDescent="0.25">
      <c r="A575" s="57"/>
    </row>
    <row r="576" spans="1:1" ht="15.75" customHeight="1" x14ac:dyDescent="0.25">
      <c r="A576" s="57"/>
    </row>
    <row r="577" spans="1:1" ht="15.75" customHeight="1" x14ac:dyDescent="0.25">
      <c r="A577" s="57"/>
    </row>
    <row r="578" spans="1:1" ht="15.75" customHeight="1" x14ac:dyDescent="0.25">
      <c r="A578" s="57"/>
    </row>
    <row r="579" spans="1:1" ht="15.75" customHeight="1" x14ac:dyDescent="0.25">
      <c r="A579" s="57"/>
    </row>
    <row r="580" spans="1:1" ht="15.75" customHeight="1" x14ac:dyDescent="0.25">
      <c r="A580" s="57"/>
    </row>
    <row r="581" spans="1:1" ht="15.75" customHeight="1" x14ac:dyDescent="0.25">
      <c r="A581" s="57"/>
    </row>
    <row r="582" spans="1:1" ht="15.75" customHeight="1" x14ac:dyDescent="0.25">
      <c r="A582" s="57"/>
    </row>
    <row r="583" spans="1:1" ht="15.75" customHeight="1" x14ac:dyDescent="0.25">
      <c r="A583" s="57"/>
    </row>
    <row r="584" spans="1:1" ht="15.75" customHeight="1" x14ac:dyDescent="0.25">
      <c r="A584" s="57"/>
    </row>
    <row r="585" spans="1:1" ht="15.75" customHeight="1" x14ac:dyDescent="0.25">
      <c r="A585" s="57"/>
    </row>
    <row r="586" spans="1:1" ht="15.75" customHeight="1" x14ac:dyDescent="0.25">
      <c r="A586" s="57"/>
    </row>
    <row r="587" spans="1:1" ht="15.75" customHeight="1" x14ac:dyDescent="0.25">
      <c r="A587" s="57"/>
    </row>
    <row r="588" spans="1:1" ht="15.75" customHeight="1" x14ac:dyDescent="0.25">
      <c r="A588" s="57"/>
    </row>
    <row r="589" spans="1:1" ht="15.75" customHeight="1" x14ac:dyDescent="0.25">
      <c r="A589" s="57"/>
    </row>
    <row r="590" spans="1:1" ht="15.75" customHeight="1" x14ac:dyDescent="0.25">
      <c r="A590" s="57"/>
    </row>
    <row r="591" spans="1:1" ht="15.75" customHeight="1" x14ac:dyDescent="0.25">
      <c r="A591" s="57"/>
    </row>
    <row r="592" spans="1:1" ht="15.75" customHeight="1" x14ac:dyDescent="0.25">
      <c r="A592" s="57"/>
    </row>
    <row r="593" spans="1:1" ht="15.75" customHeight="1" x14ac:dyDescent="0.25">
      <c r="A593" s="57"/>
    </row>
    <row r="594" spans="1:1" ht="15.75" customHeight="1" x14ac:dyDescent="0.25">
      <c r="A594" s="57"/>
    </row>
    <row r="595" spans="1:1" ht="15.75" customHeight="1" x14ac:dyDescent="0.25">
      <c r="A595" s="57"/>
    </row>
    <row r="596" spans="1:1" ht="15.75" customHeight="1" x14ac:dyDescent="0.25">
      <c r="A596" s="57"/>
    </row>
    <row r="597" spans="1:1" ht="15.75" customHeight="1" x14ac:dyDescent="0.25">
      <c r="A597" s="57"/>
    </row>
    <row r="598" spans="1:1" ht="15.75" customHeight="1" x14ac:dyDescent="0.25">
      <c r="A598" s="57"/>
    </row>
    <row r="599" spans="1:1" ht="15.75" customHeight="1" x14ac:dyDescent="0.25">
      <c r="A599" s="57"/>
    </row>
    <row r="600" spans="1:1" ht="15.75" customHeight="1" x14ac:dyDescent="0.25">
      <c r="A600" s="57"/>
    </row>
    <row r="601" spans="1:1" ht="15.75" customHeight="1" x14ac:dyDescent="0.25">
      <c r="A601" s="57"/>
    </row>
    <row r="602" spans="1:1" ht="15.75" customHeight="1" x14ac:dyDescent="0.25">
      <c r="A602" s="57"/>
    </row>
    <row r="603" spans="1:1" ht="15.75" customHeight="1" x14ac:dyDescent="0.25">
      <c r="A603" s="57"/>
    </row>
    <row r="604" spans="1:1" ht="15.75" customHeight="1" x14ac:dyDescent="0.25">
      <c r="A604" s="57"/>
    </row>
    <row r="605" spans="1:1" ht="15.75" customHeight="1" x14ac:dyDescent="0.25">
      <c r="A605" s="57"/>
    </row>
    <row r="606" spans="1:1" ht="15.75" customHeight="1" x14ac:dyDescent="0.25">
      <c r="A606" s="57"/>
    </row>
    <row r="607" spans="1:1" ht="15.75" customHeight="1" x14ac:dyDescent="0.25">
      <c r="A607" s="57"/>
    </row>
    <row r="608" spans="1:1" ht="15.75" customHeight="1" x14ac:dyDescent="0.25">
      <c r="A608" s="57"/>
    </row>
    <row r="609" spans="1:1" ht="15.75" customHeight="1" x14ac:dyDescent="0.25">
      <c r="A609" s="57"/>
    </row>
    <row r="610" spans="1:1" ht="15.75" customHeight="1" x14ac:dyDescent="0.25">
      <c r="A610" s="57"/>
    </row>
    <row r="611" spans="1:1" ht="15.75" customHeight="1" x14ac:dyDescent="0.25">
      <c r="A611" s="57"/>
    </row>
    <row r="612" spans="1:1" ht="15.75" customHeight="1" x14ac:dyDescent="0.25">
      <c r="A612" s="57"/>
    </row>
    <row r="613" spans="1:1" ht="15.75" customHeight="1" x14ac:dyDescent="0.25">
      <c r="A613" s="57"/>
    </row>
    <row r="614" spans="1:1" ht="15.75" customHeight="1" x14ac:dyDescent="0.25">
      <c r="A614" s="57"/>
    </row>
    <row r="615" spans="1:1" ht="15.75" customHeight="1" x14ac:dyDescent="0.25">
      <c r="A615" s="57"/>
    </row>
    <row r="616" spans="1:1" ht="15.75" customHeight="1" x14ac:dyDescent="0.25">
      <c r="A616" s="57"/>
    </row>
    <row r="617" spans="1:1" ht="15.75" customHeight="1" x14ac:dyDescent="0.25">
      <c r="A617" s="57"/>
    </row>
    <row r="618" spans="1:1" ht="15.75" customHeight="1" x14ac:dyDescent="0.25">
      <c r="A618" s="57"/>
    </row>
    <row r="619" spans="1:1" ht="15.75" customHeight="1" x14ac:dyDescent="0.25">
      <c r="A619" s="57"/>
    </row>
    <row r="620" spans="1:1" ht="15.75" customHeight="1" x14ac:dyDescent="0.25">
      <c r="A620" s="57"/>
    </row>
    <row r="621" spans="1:1" ht="15.75" customHeight="1" x14ac:dyDescent="0.25">
      <c r="A621" s="57"/>
    </row>
    <row r="622" spans="1:1" ht="15.75" customHeight="1" x14ac:dyDescent="0.25">
      <c r="A622" s="57"/>
    </row>
    <row r="623" spans="1:1" ht="15.75" customHeight="1" x14ac:dyDescent="0.25">
      <c r="A623" s="57"/>
    </row>
    <row r="624" spans="1:1" ht="15.75" customHeight="1" x14ac:dyDescent="0.25">
      <c r="A624" s="57"/>
    </row>
    <row r="625" spans="1:1" ht="15.75" customHeight="1" x14ac:dyDescent="0.25">
      <c r="A625" s="57"/>
    </row>
    <row r="626" spans="1:1" ht="15.75" customHeight="1" x14ac:dyDescent="0.25">
      <c r="A626" s="57"/>
    </row>
    <row r="627" spans="1:1" ht="15.75" customHeight="1" x14ac:dyDescent="0.25">
      <c r="A627" s="57"/>
    </row>
    <row r="628" spans="1:1" ht="15.75" customHeight="1" x14ac:dyDescent="0.25">
      <c r="A628" s="57"/>
    </row>
    <row r="629" spans="1:1" ht="15.75" customHeight="1" x14ac:dyDescent="0.25">
      <c r="A629" s="57"/>
    </row>
    <row r="630" spans="1:1" ht="15.75" customHeight="1" x14ac:dyDescent="0.25">
      <c r="A630" s="57"/>
    </row>
    <row r="631" spans="1:1" ht="15.75" customHeight="1" x14ac:dyDescent="0.25">
      <c r="A631" s="57"/>
    </row>
    <row r="632" spans="1:1" ht="15.75" customHeight="1" x14ac:dyDescent="0.25">
      <c r="A632" s="57"/>
    </row>
    <row r="633" spans="1:1" ht="15.75" customHeight="1" x14ac:dyDescent="0.25">
      <c r="A633" s="57"/>
    </row>
    <row r="634" spans="1:1" ht="15.75" customHeight="1" x14ac:dyDescent="0.25">
      <c r="A634" s="57"/>
    </row>
    <row r="635" spans="1:1" ht="15.75" customHeight="1" x14ac:dyDescent="0.25">
      <c r="A635" s="57"/>
    </row>
    <row r="636" spans="1:1" ht="15.75" customHeight="1" x14ac:dyDescent="0.25">
      <c r="A636" s="57"/>
    </row>
    <row r="637" spans="1:1" ht="15.75" customHeight="1" x14ac:dyDescent="0.25">
      <c r="A637" s="57"/>
    </row>
    <row r="638" spans="1:1" ht="15.75" customHeight="1" x14ac:dyDescent="0.25">
      <c r="A638" s="57"/>
    </row>
    <row r="639" spans="1:1" ht="15.75" customHeight="1" x14ac:dyDescent="0.25">
      <c r="A639" s="57"/>
    </row>
    <row r="640" spans="1:1" ht="15.75" customHeight="1" x14ac:dyDescent="0.25">
      <c r="A640" s="57"/>
    </row>
    <row r="641" spans="1:1" ht="15.75" customHeight="1" x14ac:dyDescent="0.25">
      <c r="A641" s="57"/>
    </row>
    <row r="642" spans="1:1" ht="15.75" customHeight="1" x14ac:dyDescent="0.25">
      <c r="A642" s="57"/>
    </row>
    <row r="643" spans="1:1" ht="15.75" customHeight="1" x14ac:dyDescent="0.25">
      <c r="A643" s="57"/>
    </row>
    <row r="644" spans="1:1" ht="15.75" customHeight="1" x14ac:dyDescent="0.25">
      <c r="A644" s="57"/>
    </row>
    <row r="645" spans="1:1" ht="15.75" customHeight="1" x14ac:dyDescent="0.25">
      <c r="A645" s="57"/>
    </row>
    <row r="646" spans="1:1" ht="15.75" customHeight="1" x14ac:dyDescent="0.25">
      <c r="A646" s="57"/>
    </row>
    <row r="647" spans="1:1" ht="15.75" customHeight="1" x14ac:dyDescent="0.25">
      <c r="A647" s="57"/>
    </row>
    <row r="648" spans="1:1" ht="15.75" customHeight="1" x14ac:dyDescent="0.25">
      <c r="A648" s="57"/>
    </row>
    <row r="649" spans="1:1" ht="15.75" customHeight="1" x14ac:dyDescent="0.25">
      <c r="A649" s="57"/>
    </row>
    <row r="650" spans="1:1" ht="15.75" customHeight="1" x14ac:dyDescent="0.25">
      <c r="A650" s="57"/>
    </row>
    <row r="651" spans="1:1" ht="15.75" customHeight="1" x14ac:dyDescent="0.25">
      <c r="A651" s="57"/>
    </row>
    <row r="652" spans="1:1" ht="15.75" customHeight="1" x14ac:dyDescent="0.25">
      <c r="A652" s="57"/>
    </row>
    <row r="653" spans="1:1" ht="15.75" customHeight="1" x14ac:dyDescent="0.25">
      <c r="A653" s="57"/>
    </row>
    <row r="654" spans="1:1" ht="15.75" customHeight="1" x14ac:dyDescent="0.25">
      <c r="A654" s="57"/>
    </row>
    <row r="655" spans="1:1" ht="15.75" customHeight="1" x14ac:dyDescent="0.25">
      <c r="A655" s="57"/>
    </row>
    <row r="656" spans="1:1" ht="15.75" customHeight="1" x14ac:dyDescent="0.25">
      <c r="A656" s="57"/>
    </row>
    <row r="657" spans="1:1" ht="15.75" customHeight="1" x14ac:dyDescent="0.25">
      <c r="A657" s="57"/>
    </row>
    <row r="658" spans="1:1" ht="15.75" customHeight="1" x14ac:dyDescent="0.25">
      <c r="A658" s="57"/>
    </row>
    <row r="659" spans="1:1" ht="15.75" customHeight="1" x14ac:dyDescent="0.25">
      <c r="A659" s="57"/>
    </row>
    <row r="660" spans="1:1" ht="15.75" customHeight="1" x14ac:dyDescent="0.25">
      <c r="A660" s="57"/>
    </row>
    <row r="661" spans="1:1" ht="15.75" customHeight="1" x14ac:dyDescent="0.25">
      <c r="A661" s="57"/>
    </row>
    <row r="662" spans="1:1" ht="15.75" customHeight="1" x14ac:dyDescent="0.25">
      <c r="A662" s="57"/>
    </row>
    <row r="663" spans="1:1" ht="15.75" customHeight="1" x14ac:dyDescent="0.25">
      <c r="A663" s="57"/>
    </row>
    <row r="664" spans="1:1" ht="15.75" customHeight="1" x14ac:dyDescent="0.25">
      <c r="A664" s="57"/>
    </row>
    <row r="665" spans="1:1" ht="15.75" customHeight="1" x14ac:dyDescent="0.25">
      <c r="A665" s="57"/>
    </row>
    <row r="666" spans="1:1" ht="15.75" customHeight="1" x14ac:dyDescent="0.25">
      <c r="A666" s="57"/>
    </row>
    <row r="667" spans="1:1" ht="15.75" customHeight="1" x14ac:dyDescent="0.25">
      <c r="A667" s="57"/>
    </row>
    <row r="668" spans="1:1" ht="15.75" customHeight="1" x14ac:dyDescent="0.25">
      <c r="A668" s="57"/>
    </row>
    <row r="669" spans="1:1" ht="15.75" customHeight="1" x14ac:dyDescent="0.25">
      <c r="A669" s="57"/>
    </row>
    <row r="670" spans="1:1" ht="15.75" customHeight="1" x14ac:dyDescent="0.25">
      <c r="A670" s="57"/>
    </row>
    <row r="671" spans="1:1" ht="15.75" customHeight="1" x14ac:dyDescent="0.25">
      <c r="A671" s="57"/>
    </row>
    <row r="672" spans="1:1" ht="15.75" customHeight="1" x14ac:dyDescent="0.25">
      <c r="A672" s="57"/>
    </row>
    <row r="673" spans="1:1" ht="15.75" customHeight="1" x14ac:dyDescent="0.25">
      <c r="A673" s="57"/>
    </row>
    <row r="674" spans="1:1" ht="15.75" customHeight="1" x14ac:dyDescent="0.25">
      <c r="A674" s="57"/>
    </row>
    <row r="675" spans="1:1" ht="15.75" customHeight="1" x14ac:dyDescent="0.25">
      <c r="A675" s="57"/>
    </row>
    <row r="676" spans="1:1" ht="15.75" customHeight="1" x14ac:dyDescent="0.25">
      <c r="A676" s="57"/>
    </row>
    <row r="677" spans="1:1" ht="15.75" customHeight="1" x14ac:dyDescent="0.25">
      <c r="A677" s="57"/>
    </row>
    <row r="678" spans="1:1" ht="15.75" customHeight="1" x14ac:dyDescent="0.25">
      <c r="A678" s="57"/>
    </row>
    <row r="679" spans="1:1" ht="15.75" customHeight="1" x14ac:dyDescent="0.25">
      <c r="A679" s="57"/>
    </row>
    <row r="680" spans="1:1" ht="15.75" customHeight="1" x14ac:dyDescent="0.25">
      <c r="A680" s="57"/>
    </row>
    <row r="681" spans="1:1" ht="15.75" customHeight="1" x14ac:dyDescent="0.25">
      <c r="A681" s="57"/>
    </row>
    <row r="682" spans="1:1" ht="15.75" customHeight="1" x14ac:dyDescent="0.25">
      <c r="A682" s="57"/>
    </row>
    <row r="683" spans="1:1" ht="15.75" customHeight="1" x14ac:dyDescent="0.25">
      <c r="A683" s="57"/>
    </row>
    <row r="684" spans="1:1" ht="15.75" customHeight="1" x14ac:dyDescent="0.25">
      <c r="A684" s="57"/>
    </row>
    <row r="685" spans="1:1" ht="15.75" customHeight="1" x14ac:dyDescent="0.25">
      <c r="A685" s="57"/>
    </row>
    <row r="686" spans="1:1" ht="15.75" customHeight="1" x14ac:dyDescent="0.25">
      <c r="A686" s="57"/>
    </row>
    <row r="687" spans="1:1" ht="15.75" customHeight="1" x14ac:dyDescent="0.25">
      <c r="A687" s="57"/>
    </row>
    <row r="688" spans="1:1" ht="15.75" customHeight="1" x14ac:dyDescent="0.25">
      <c r="A688" s="57"/>
    </row>
    <row r="689" spans="1:1" ht="15.75" customHeight="1" x14ac:dyDescent="0.25">
      <c r="A689" s="57"/>
    </row>
    <row r="690" spans="1:1" ht="15.75" customHeight="1" x14ac:dyDescent="0.25">
      <c r="A690" s="57"/>
    </row>
    <row r="691" spans="1:1" ht="15.75" customHeight="1" x14ac:dyDescent="0.25">
      <c r="A691" s="57"/>
    </row>
    <row r="692" spans="1:1" ht="15.75" customHeight="1" x14ac:dyDescent="0.25">
      <c r="A692" s="57"/>
    </row>
    <row r="693" spans="1:1" ht="15.75" customHeight="1" x14ac:dyDescent="0.25">
      <c r="A693" s="57"/>
    </row>
    <row r="694" spans="1:1" ht="15.75" customHeight="1" x14ac:dyDescent="0.25">
      <c r="A694" s="57"/>
    </row>
    <row r="695" spans="1:1" ht="15.75" customHeight="1" x14ac:dyDescent="0.25">
      <c r="A695" s="57"/>
    </row>
    <row r="696" spans="1:1" ht="15.75" customHeight="1" x14ac:dyDescent="0.25">
      <c r="A696" s="57"/>
    </row>
    <row r="697" spans="1:1" ht="15.75" customHeight="1" x14ac:dyDescent="0.25">
      <c r="A697" s="57"/>
    </row>
    <row r="698" spans="1:1" ht="15.75" customHeight="1" x14ac:dyDescent="0.25">
      <c r="A698" s="57"/>
    </row>
    <row r="699" spans="1:1" ht="15.75" customHeight="1" x14ac:dyDescent="0.25">
      <c r="A699" s="57"/>
    </row>
    <row r="700" spans="1:1" ht="15.75" customHeight="1" x14ac:dyDescent="0.25">
      <c r="A700" s="57"/>
    </row>
    <row r="701" spans="1:1" ht="15.75" customHeight="1" x14ac:dyDescent="0.25">
      <c r="A701" s="57"/>
    </row>
    <row r="702" spans="1:1" ht="15.75" customHeight="1" x14ac:dyDescent="0.25">
      <c r="A702" s="57"/>
    </row>
    <row r="703" spans="1:1" ht="15.75" customHeight="1" x14ac:dyDescent="0.25">
      <c r="A703" s="57"/>
    </row>
    <row r="704" spans="1:1" ht="15.75" customHeight="1" x14ac:dyDescent="0.25">
      <c r="A704" s="57"/>
    </row>
    <row r="705" spans="1:1" ht="15.75" customHeight="1" x14ac:dyDescent="0.25">
      <c r="A705" s="57"/>
    </row>
    <row r="706" spans="1:1" ht="15.75" customHeight="1" x14ac:dyDescent="0.25">
      <c r="A706" s="57"/>
    </row>
    <row r="707" spans="1:1" ht="15.75" customHeight="1" x14ac:dyDescent="0.25">
      <c r="A707" s="57"/>
    </row>
    <row r="708" spans="1:1" ht="15.75" customHeight="1" x14ac:dyDescent="0.25">
      <c r="A708" s="57"/>
    </row>
    <row r="709" spans="1:1" ht="15.75" customHeight="1" x14ac:dyDescent="0.25">
      <c r="A709" s="57"/>
    </row>
    <row r="710" spans="1:1" ht="15.75" customHeight="1" x14ac:dyDescent="0.25">
      <c r="A710" s="57"/>
    </row>
    <row r="711" spans="1:1" ht="15.75" customHeight="1" x14ac:dyDescent="0.25">
      <c r="A711" s="57"/>
    </row>
    <row r="712" spans="1:1" ht="15.75" customHeight="1" x14ac:dyDescent="0.25">
      <c r="A712" s="57"/>
    </row>
    <row r="713" spans="1:1" ht="15.75" customHeight="1" x14ac:dyDescent="0.25">
      <c r="A713" s="57"/>
    </row>
    <row r="714" spans="1:1" ht="15.75" customHeight="1" x14ac:dyDescent="0.25">
      <c r="A714" s="57"/>
    </row>
    <row r="715" spans="1:1" ht="15.75" customHeight="1" x14ac:dyDescent="0.25">
      <c r="A715" s="57"/>
    </row>
    <row r="716" spans="1:1" ht="15.75" customHeight="1" x14ac:dyDescent="0.25">
      <c r="A716" s="57"/>
    </row>
    <row r="717" spans="1:1" ht="15.75" customHeight="1" x14ac:dyDescent="0.25">
      <c r="A717" s="57"/>
    </row>
    <row r="718" spans="1:1" ht="15.75" customHeight="1" x14ac:dyDescent="0.25">
      <c r="A718" s="57"/>
    </row>
    <row r="719" spans="1:1" ht="15.75" customHeight="1" x14ac:dyDescent="0.25">
      <c r="A719" s="57"/>
    </row>
    <row r="720" spans="1:1" ht="15.75" customHeight="1" x14ac:dyDescent="0.25">
      <c r="A720" s="57"/>
    </row>
    <row r="721" spans="1:1" ht="15.75" customHeight="1" x14ac:dyDescent="0.25">
      <c r="A721" s="57"/>
    </row>
    <row r="722" spans="1:1" ht="15.75" customHeight="1" x14ac:dyDescent="0.25">
      <c r="A722" s="57"/>
    </row>
    <row r="723" spans="1:1" ht="15.75" customHeight="1" x14ac:dyDescent="0.25">
      <c r="A723" s="57"/>
    </row>
    <row r="724" spans="1:1" ht="15.75" customHeight="1" x14ac:dyDescent="0.25">
      <c r="A724" s="57"/>
    </row>
    <row r="725" spans="1:1" ht="15.75" customHeight="1" x14ac:dyDescent="0.25">
      <c r="A725" s="57"/>
    </row>
    <row r="726" spans="1:1" ht="15.75" customHeight="1" x14ac:dyDescent="0.25">
      <c r="A726" s="57"/>
    </row>
    <row r="727" spans="1:1" ht="15.75" customHeight="1" x14ac:dyDescent="0.25">
      <c r="A727" s="57"/>
    </row>
    <row r="728" spans="1:1" ht="15.75" customHeight="1" x14ac:dyDescent="0.25">
      <c r="A728" s="57"/>
    </row>
    <row r="729" spans="1:1" ht="15.75" customHeight="1" x14ac:dyDescent="0.25">
      <c r="A729" s="57"/>
    </row>
    <row r="730" spans="1:1" ht="15.75" customHeight="1" x14ac:dyDescent="0.25">
      <c r="A730" s="57"/>
    </row>
    <row r="731" spans="1:1" ht="15.75" customHeight="1" x14ac:dyDescent="0.25">
      <c r="A731" s="57"/>
    </row>
    <row r="732" spans="1:1" ht="15.75" customHeight="1" x14ac:dyDescent="0.25">
      <c r="A732" s="57"/>
    </row>
    <row r="733" spans="1:1" ht="15.75" customHeight="1" x14ac:dyDescent="0.25">
      <c r="A733" s="57"/>
    </row>
    <row r="734" spans="1:1" ht="15.75" customHeight="1" x14ac:dyDescent="0.25">
      <c r="A734" s="57"/>
    </row>
    <row r="735" spans="1:1" ht="15.75" customHeight="1" x14ac:dyDescent="0.25">
      <c r="A735" s="57"/>
    </row>
    <row r="736" spans="1:1" ht="15.75" customHeight="1" x14ac:dyDescent="0.25">
      <c r="A736" s="57"/>
    </row>
    <row r="737" spans="1:1" ht="15.75" customHeight="1" x14ac:dyDescent="0.25">
      <c r="A737" s="57"/>
    </row>
    <row r="738" spans="1:1" ht="15.75" customHeight="1" x14ac:dyDescent="0.25">
      <c r="A738" s="57"/>
    </row>
    <row r="739" spans="1:1" ht="15.75" customHeight="1" x14ac:dyDescent="0.25">
      <c r="A739" s="57"/>
    </row>
    <row r="740" spans="1:1" ht="15.75" customHeight="1" x14ac:dyDescent="0.25">
      <c r="A740" s="57"/>
    </row>
    <row r="741" spans="1:1" ht="15.75" customHeight="1" x14ac:dyDescent="0.25">
      <c r="A741" s="57"/>
    </row>
    <row r="742" spans="1:1" ht="15.75" customHeight="1" x14ac:dyDescent="0.25">
      <c r="A742" s="57"/>
    </row>
    <row r="743" spans="1:1" ht="15.75" customHeight="1" x14ac:dyDescent="0.25">
      <c r="A743" s="57"/>
    </row>
    <row r="744" spans="1:1" ht="15.75" customHeight="1" x14ac:dyDescent="0.25">
      <c r="A744" s="57"/>
    </row>
    <row r="745" spans="1:1" ht="15.75" customHeight="1" x14ac:dyDescent="0.25">
      <c r="A745" s="57"/>
    </row>
    <row r="746" spans="1:1" ht="15.75" customHeight="1" x14ac:dyDescent="0.25">
      <c r="A746" s="57"/>
    </row>
    <row r="747" spans="1:1" ht="15.75" customHeight="1" x14ac:dyDescent="0.25">
      <c r="A747" s="57"/>
    </row>
    <row r="748" spans="1:1" ht="15.75" customHeight="1" x14ac:dyDescent="0.25">
      <c r="A748" s="57"/>
    </row>
    <row r="749" spans="1:1" ht="15.75" customHeight="1" x14ac:dyDescent="0.25">
      <c r="A749" s="57"/>
    </row>
    <row r="750" spans="1:1" ht="15.75" customHeight="1" x14ac:dyDescent="0.25">
      <c r="A750" s="57"/>
    </row>
    <row r="751" spans="1:1" ht="15.75" customHeight="1" x14ac:dyDescent="0.25">
      <c r="A751" s="57"/>
    </row>
    <row r="752" spans="1:1" ht="15.75" customHeight="1" x14ac:dyDescent="0.25">
      <c r="A752" s="57"/>
    </row>
    <row r="753" spans="1:1" ht="15.75" customHeight="1" x14ac:dyDescent="0.25">
      <c r="A753" s="57"/>
    </row>
    <row r="754" spans="1:1" ht="15.75" customHeight="1" x14ac:dyDescent="0.25">
      <c r="A754" s="57"/>
    </row>
    <row r="755" spans="1:1" ht="15.75" customHeight="1" x14ac:dyDescent="0.25">
      <c r="A755" s="57"/>
    </row>
    <row r="756" spans="1:1" ht="15.75" customHeight="1" x14ac:dyDescent="0.25">
      <c r="A756" s="57"/>
    </row>
    <row r="757" spans="1:1" ht="15.75" customHeight="1" x14ac:dyDescent="0.25">
      <c r="A757" s="57"/>
    </row>
    <row r="758" spans="1:1" ht="15.75" customHeight="1" x14ac:dyDescent="0.25">
      <c r="A758" s="57"/>
    </row>
    <row r="759" spans="1:1" ht="15.75" customHeight="1" x14ac:dyDescent="0.25">
      <c r="A759" s="57"/>
    </row>
    <row r="760" spans="1:1" ht="15.75" customHeight="1" x14ac:dyDescent="0.25">
      <c r="A760" s="57"/>
    </row>
    <row r="761" spans="1:1" ht="15.75" customHeight="1" x14ac:dyDescent="0.25">
      <c r="A761" s="57"/>
    </row>
    <row r="762" spans="1:1" ht="15.75" customHeight="1" x14ac:dyDescent="0.25">
      <c r="A762" s="57"/>
    </row>
    <row r="763" spans="1:1" ht="15.75" customHeight="1" x14ac:dyDescent="0.25">
      <c r="A763" s="57"/>
    </row>
    <row r="764" spans="1:1" ht="15.75" customHeight="1" x14ac:dyDescent="0.25">
      <c r="A764" s="57"/>
    </row>
    <row r="765" spans="1:1" ht="15.75" customHeight="1" x14ac:dyDescent="0.25">
      <c r="A765" s="57"/>
    </row>
    <row r="766" spans="1:1" ht="15.75" customHeight="1" x14ac:dyDescent="0.25">
      <c r="A766" s="57"/>
    </row>
    <row r="767" spans="1:1" ht="15.75" customHeight="1" x14ac:dyDescent="0.25">
      <c r="A767" s="57"/>
    </row>
    <row r="768" spans="1:1" ht="15.75" customHeight="1" x14ac:dyDescent="0.25">
      <c r="A768" s="57"/>
    </row>
    <row r="769" spans="1:1" ht="15.75" customHeight="1" x14ac:dyDescent="0.25">
      <c r="A769" s="57"/>
    </row>
    <row r="770" spans="1:1" ht="15.75" customHeight="1" x14ac:dyDescent="0.25">
      <c r="A770" s="57"/>
    </row>
    <row r="771" spans="1:1" ht="15.75" customHeight="1" x14ac:dyDescent="0.25">
      <c r="A771" s="57"/>
    </row>
    <row r="772" spans="1:1" ht="15.75" customHeight="1" x14ac:dyDescent="0.25">
      <c r="A772" s="57"/>
    </row>
    <row r="773" spans="1:1" ht="15.75" customHeight="1" x14ac:dyDescent="0.25">
      <c r="A773" s="57"/>
    </row>
    <row r="774" spans="1:1" ht="15.75" customHeight="1" x14ac:dyDescent="0.25">
      <c r="A774" s="57"/>
    </row>
    <row r="775" spans="1:1" ht="15.75" customHeight="1" x14ac:dyDescent="0.25">
      <c r="A775" s="57"/>
    </row>
    <row r="776" spans="1:1" ht="15.75" customHeight="1" x14ac:dyDescent="0.25">
      <c r="A776" s="57"/>
    </row>
    <row r="777" spans="1:1" ht="15.75" customHeight="1" x14ac:dyDescent="0.25">
      <c r="A777" s="57"/>
    </row>
    <row r="778" spans="1:1" ht="15.75" customHeight="1" x14ac:dyDescent="0.25">
      <c r="A778" s="57"/>
    </row>
    <row r="779" spans="1:1" ht="15.75" customHeight="1" x14ac:dyDescent="0.25">
      <c r="A779" s="57"/>
    </row>
    <row r="780" spans="1:1" ht="15.75" customHeight="1" x14ac:dyDescent="0.25">
      <c r="A780" s="57"/>
    </row>
    <row r="781" spans="1:1" ht="15.75" customHeight="1" x14ac:dyDescent="0.25">
      <c r="A781" s="57"/>
    </row>
    <row r="782" spans="1:1" ht="15.75" customHeight="1" x14ac:dyDescent="0.25">
      <c r="A782" s="57"/>
    </row>
    <row r="783" spans="1:1" ht="15.75" customHeight="1" x14ac:dyDescent="0.25">
      <c r="A783" s="57"/>
    </row>
    <row r="784" spans="1:1" ht="15.75" customHeight="1" x14ac:dyDescent="0.25">
      <c r="A784" s="57"/>
    </row>
    <row r="785" spans="1:1" ht="15.75" customHeight="1" x14ac:dyDescent="0.25">
      <c r="A785" s="57"/>
    </row>
    <row r="786" spans="1:1" ht="15.75" customHeight="1" x14ac:dyDescent="0.25">
      <c r="A786" s="57"/>
    </row>
    <row r="787" spans="1:1" ht="15.75" customHeight="1" x14ac:dyDescent="0.25">
      <c r="A787" s="57"/>
    </row>
    <row r="788" spans="1:1" ht="15.75" customHeight="1" x14ac:dyDescent="0.25">
      <c r="A788" s="57"/>
    </row>
    <row r="789" spans="1:1" ht="15.75" customHeight="1" x14ac:dyDescent="0.25">
      <c r="A789" s="57"/>
    </row>
    <row r="790" spans="1:1" ht="15.75" customHeight="1" x14ac:dyDescent="0.25">
      <c r="A790" s="57"/>
    </row>
    <row r="791" spans="1:1" ht="15.75" customHeight="1" x14ac:dyDescent="0.25">
      <c r="A791" s="57"/>
    </row>
    <row r="792" spans="1:1" ht="15.75" customHeight="1" x14ac:dyDescent="0.25">
      <c r="A792" s="57"/>
    </row>
    <row r="793" spans="1:1" ht="15.75" customHeight="1" x14ac:dyDescent="0.25">
      <c r="A793" s="57"/>
    </row>
    <row r="794" spans="1:1" ht="15.75" customHeight="1" x14ac:dyDescent="0.25">
      <c r="A794" s="57"/>
    </row>
    <row r="795" spans="1:1" ht="15.75" customHeight="1" x14ac:dyDescent="0.25">
      <c r="A795" s="57"/>
    </row>
    <row r="796" spans="1:1" ht="15.75" customHeight="1" x14ac:dyDescent="0.25">
      <c r="A796" s="57"/>
    </row>
    <row r="797" spans="1:1" ht="15.75" customHeight="1" x14ac:dyDescent="0.25">
      <c r="A797" s="57"/>
    </row>
    <row r="798" spans="1:1" ht="15.75" customHeight="1" x14ac:dyDescent="0.25">
      <c r="A798" s="57"/>
    </row>
    <row r="799" spans="1:1" ht="15.75" customHeight="1" x14ac:dyDescent="0.25">
      <c r="A799" s="57"/>
    </row>
    <row r="800" spans="1:1" ht="15.75" customHeight="1" x14ac:dyDescent="0.25">
      <c r="A800" s="57"/>
    </row>
    <row r="801" spans="1:1" ht="15.75" customHeight="1" x14ac:dyDescent="0.25">
      <c r="A801" s="57"/>
    </row>
    <row r="802" spans="1:1" ht="15.75" customHeight="1" x14ac:dyDescent="0.25">
      <c r="A802" s="57"/>
    </row>
    <row r="803" spans="1:1" ht="15.75" customHeight="1" x14ac:dyDescent="0.25">
      <c r="A803" s="57"/>
    </row>
    <row r="804" spans="1:1" ht="15.75" customHeight="1" x14ac:dyDescent="0.25">
      <c r="A804" s="57"/>
    </row>
    <row r="805" spans="1:1" ht="15.75" customHeight="1" x14ac:dyDescent="0.25">
      <c r="A805" s="57"/>
    </row>
    <row r="806" spans="1:1" ht="15.75" customHeight="1" x14ac:dyDescent="0.25">
      <c r="A806" s="57"/>
    </row>
    <row r="807" spans="1:1" ht="15.75" customHeight="1" x14ac:dyDescent="0.25">
      <c r="A807" s="57"/>
    </row>
    <row r="808" spans="1:1" ht="15.75" customHeight="1" x14ac:dyDescent="0.25">
      <c r="A808" s="57"/>
    </row>
    <row r="809" spans="1:1" ht="15.75" customHeight="1" x14ac:dyDescent="0.25">
      <c r="A809" s="57"/>
    </row>
    <row r="810" spans="1:1" ht="15.75" customHeight="1" x14ac:dyDescent="0.25">
      <c r="A810" s="57"/>
    </row>
    <row r="811" spans="1:1" ht="15.75" customHeight="1" x14ac:dyDescent="0.25">
      <c r="A811" s="57"/>
    </row>
    <row r="812" spans="1:1" ht="15.75" customHeight="1" x14ac:dyDescent="0.25">
      <c r="A812" s="57"/>
    </row>
    <row r="813" spans="1:1" ht="15.75" customHeight="1" x14ac:dyDescent="0.25">
      <c r="A813" s="57"/>
    </row>
    <row r="814" spans="1:1" ht="15.75" customHeight="1" x14ac:dyDescent="0.25">
      <c r="A814" s="57"/>
    </row>
    <row r="815" spans="1:1" ht="15.75" customHeight="1" x14ac:dyDescent="0.25">
      <c r="A815" s="57"/>
    </row>
    <row r="816" spans="1:1" ht="15.75" customHeight="1" x14ac:dyDescent="0.25">
      <c r="A816" s="57"/>
    </row>
    <row r="817" spans="1:1" ht="15.75" customHeight="1" x14ac:dyDescent="0.25">
      <c r="A817" s="57"/>
    </row>
    <row r="818" spans="1:1" ht="15.75" customHeight="1" x14ac:dyDescent="0.25">
      <c r="A818" s="57"/>
    </row>
    <row r="819" spans="1:1" ht="15.75" customHeight="1" x14ac:dyDescent="0.25">
      <c r="A819" s="57"/>
    </row>
    <row r="820" spans="1:1" ht="15.75" customHeight="1" x14ac:dyDescent="0.25">
      <c r="A820" s="57"/>
    </row>
    <row r="821" spans="1:1" ht="15.75" customHeight="1" x14ac:dyDescent="0.25">
      <c r="A821" s="57"/>
    </row>
    <row r="822" spans="1:1" ht="15.75" customHeight="1" x14ac:dyDescent="0.25">
      <c r="A822" s="57"/>
    </row>
    <row r="823" spans="1:1" ht="15.75" customHeight="1" x14ac:dyDescent="0.25">
      <c r="A823" s="57"/>
    </row>
    <row r="824" spans="1:1" ht="15.75" customHeight="1" x14ac:dyDescent="0.25">
      <c r="A824" s="57"/>
    </row>
    <row r="825" spans="1:1" ht="15.75" customHeight="1" x14ac:dyDescent="0.25">
      <c r="A825" s="57"/>
    </row>
    <row r="826" spans="1:1" ht="15.75" customHeight="1" x14ac:dyDescent="0.25">
      <c r="A826" s="57"/>
    </row>
    <row r="827" spans="1:1" ht="15.75" customHeight="1" x14ac:dyDescent="0.25">
      <c r="A827" s="57"/>
    </row>
    <row r="828" spans="1:1" ht="15.75" customHeight="1" x14ac:dyDescent="0.25">
      <c r="A828" s="57"/>
    </row>
    <row r="829" spans="1:1" ht="15.75" customHeight="1" x14ac:dyDescent="0.25">
      <c r="A829" s="57"/>
    </row>
    <row r="830" spans="1:1" ht="15.75" customHeight="1" x14ac:dyDescent="0.25">
      <c r="A830" s="57"/>
    </row>
    <row r="831" spans="1:1" ht="15.75" customHeight="1" x14ac:dyDescent="0.25">
      <c r="A831" s="57"/>
    </row>
    <row r="832" spans="1:1" ht="15.75" customHeight="1" x14ac:dyDescent="0.25">
      <c r="A832" s="57"/>
    </row>
    <row r="833" spans="1:1" ht="15.75" customHeight="1" x14ac:dyDescent="0.25">
      <c r="A833" s="57"/>
    </row>
    <row r="834" spans="1:1" ht="15.75" customHeight="1" x14ac:dyDescent="0.25">
      <c r="A834" s="57"/>
    </row>
    <row r="835" spans="1:1" ht="15.75" customHeight="1" x14ac:dyDescent="0.25">
      <c r="A835" s="57"/>
    </row>
    <row r="836" spans="1:1" ht="15.75" customHeight="1" x14ac:dyDescent="0.25">
      <c r="A836" s="57"/>
    </row>
    <row r="837" spans="1:1" ht="15.75" customHeight="1" x14ac:dyDescent="0.25">
      <c r="A837" s="57"/>
    </row>
    <row r="838" spans="1:1" ht="15.75" customHeight="1" x14ac:dyDescent="0.25">
      <c r="A838" s="57"/>
    </row>
    <row r="839" spans="1:1" ht="15.75" customHeight="1" x14ac:dyDescent="0.25">
      <c r="A839" s="57"/>
    </row>
    <row r="840" spans="1:1" ht="15.75" customHeight="1" x14ac:dyDescent="0.25">
      <c r="A840" s="57"/>
    </row>
    <row r="841" spans="1:1" ht="15.75" customHeight="1" x14ac:dyDescent="0.25">
      <c r="A841" s="57"/>
    </row>
    <row r="842" spans="1:1" ht="15.75" customHeight="1" x14ac:dyDescent="0.25">
      <c r="A842" s="57"/>
    </row>
    <row r="843" spans="1:1" ht="15.75" customHeight="1" x14ac:dyDescent="0.25">
      <c r="A843" s="57"/>
    </row>
    <row r="844" spans="1:1" ht="15.75" customHeight="1" x14ac:dyDescent="0.25">
      <c r="A844" s="57"/>
    </row>
    <row r="845" spans="1:1" ht="15.75" customHeight="1" x14ac:dyDescent="0.25">
      <c r="A845" s="57"/>
    </row>
    <row r="846" spans="1:1" ht="15.75" customHeight="1" x14ac:dyDescent="0.25">
      <c r="A846" s="57"/>
    </row>
    <row r="847" spans="1:1" ht="15.75" customHeight="1" x14ac:dyDescent="0.25">
      <c r="A847" s="57"/>
    </row>
    <row r="848" spans="1:1" ht="15.75" customHeight="1" x14ac:dyDescent="0.25">
      <c r="A848" s="57"/>
    </row>
    <row r="849" spans="1:1" ht="15.75" customHeight="1" x14ac:dyDescent="0.25">
      <c r="A849" s="57"/>
    </row>
    <row r="850" spans="1:1" ht="15.75" customHeight="1" x14ac:dyDescent="0.25">
      <c r="A850" s="57"/>
    </row>
    <row r="851" spans="1:1" ht="15.75" customHeight="1" x14ac:dyDescent="0.25">
      <c r="A851" s="57"/>
    </row>
    <row r="852" spans="1:1" ht="15.75" customHeight="1" x14ac:dyDescent="0.25">
      <c r="A852" s="57"/>
    </row>
    <row r="853" spans="1:1" ht="15.75" customHeight="1" x14ac:dyDescent="0.25">
      <c r="A853" s="57"/>
    </row>
    <row r="854" spans="1:1" ht="15.75" customHeight="1" x14ac:dyDescent="0.25">
      <c r="A854" s="57"/>
    </row>
    <row r="855" spans="1:1" ht="15.75" customHeight="1" x14ac:dyDescent="0.25">
      <c r="A855" s="57"/>
    </row>
    <row r="856" spans="1:1" ht="15.75" customHeight="1" x14ac:dyDescent="0.25">
      <c r="A856" s="57"/>
    </row>
    <row r="857" spans="1:1" ht="15.75" customHeight="1" x14ac:dyDescent="0.25">
      <c r="A857" s="57"/>
    </row>
    <row r="858" spans="1:1" ht="15.75" customHeight="1" x14ac:dyDescent="0.25">
      <c r="A858" s="57"/>
    </row>
    <row r="859" spans="1:1" ht="15.75" customHeight="1" x14ac:dyDescent="0.25">
      <c r="A859" s="57"/>
    </row>
    <row r="860" spans="1:1" ht="15.75" customHeight="1" x14ac:dyDescent="0.25">
      <c r="A860" s="57"/>
    </row>
    <row r="861" spans="1:1" ht="15.75" customHeight="1" x14ac:dyDescent="0.25">
      <c r="A861" s="57"/>
    </row>
    <row r="862" spans="1:1" ht="15.75" customHeight="1" x14ac:dyDescent="0.25">
      <c r="A862" s="57"/>
    </row>
    <row r="863" spans="1:1" ht="15.75" customHeight="1" x14ac:dyDescent="0.25">
      <c r="A863" s="57"/>
    </row>
    <row r="864" spans="1:1" ht="15.75" customHeight="1" x14ac:dyDescent="0.25">
      <c r="A864" s="57"/>
    </row>
    <row r="865" spans="1:1" ht="15.75" customHeight="1" x14ac:dyDescent="0.25">
      <c r="A865" s="57"/>
    </row>
    <row r="866" spans="1:1" ht="15.75" customHeight="1" x14ac:dyDescent="0.25">
      <c r="A866" s="57"/>
    </row>
    <row r="867" spans="1:1" ht="15.75" customHeight="1" x14ac:dyDescent="0.25">
      <c r="A867" s="57"/>
    </row>
    <row r="868" spans="1:1" ht="15.75" customHeight="1" x14ac:dyDescent="0.25">
      <c r="A868" s="57"/>
    </row>
    <row r="869" spans="1:1" ht="15.75" customHeight="1" x14ac:dyDescent="0.25">
      <c r="A869" s="57"/>
    </row>
    <row r="870" spans="1:1" ht="15.75" customHeight="1" x14ac:dyDescent="0.25">
      <c r="A870" s="57"/>
    </row>
    <row r="871" spans="1:1" ht="15.75" customHeight="1" x14ac:dyDescent="0.25">
      <c r="A871" s="57"/>
    </row>
    <row r="872" spans="1:1" ht="15.75" customHeight="1" x14ac:dyDescent="0.25">
      <c r="A872" s="57"/>
    </row>
    <row r="873" spans="1:1" ht="15.75" customHeight="1" x14ac:dyDescent="0.25">
      <c r="A873" s="57"/>
    </row>
    <row r="874" spans="1:1" ht="15.75" customHeight="1" x14ac:dyDescent="0.25">
      <c r="A874" s="57"/>
    </row>
    <row r="875" spans="1:1" ht="15.75" customHeight="1" x14ac:dyDescent="0.25">
      <c r="A875" s="57"/>
    </row>
    <row r="876" spans="1:1" ht="15.75" customHeight="1" x14ac:dyDescent="0.25">
      <c r="A876" s="57"/>
    </row>
    <row r="877" spans="1:1" ht="15.75" customHeight="1" x14ac:dyDescent="0.25">
      <c r="A877" s="57"/>
    </row>
    <row r="878" spans="1:1" ht="15.75" customHeight="1" x14ac:dyDescent="0.25">
      <c r="A878" s="57"/>
    </row>
    <row r="879" spans="1:1" ht="15.75" customHeight="1" x14ac:dyDescent="0.25">
      <c r="A879" s="57"/>
    </row>
    <row r="880" spans="1:1" ht="15.75" customHeight="1" x14ac:dyDescent="0.25">
      <c r="A880" s="57"/>
    </row>
    <row r="881" spans="1:1" ht="15.75" customHeight="1" x14ac:dyDescent="0.25">
      <c r="A881" s="57"/>
    </row>
    <row r="882" spans="1:1" ht="15.75" customHeight="1" x14ac:dyDescent="0.25">
      <c r="A882" s="57"/>
    </row>
    <row r="883" spans="1:1" ht="15.75" customHeight="1" x14ac:dyDescent="0.25">
      <c r="A883" s="57"/>
    </row>
    <row r="884" spans="1:1" ht="15.75" customHeight="1" x14ac:dyDescent="0.25">
      <c r="A884" s="57"/>
    </row>
    <row r="885" spans="1:1" ht="15.75" customHeight="1" x14ac:dyDescent="0.25">
      <c r="A885" s="57"/>
    </row>
    <row r="886" spans="1:1" ht="15.75" customHeight="1" x14ac:dyDescent="0.25">
      <c r="A886" s="57"/>
    </row>
    <row r="887" spans="1:1" ht="15.75" customHeight="1" x14ac:dyDescent="0.25">
      <c r="A887" s="57"/>
    </row>
    <row r="888" spans="1:1" ht="15.75" customHeight="1" x14ac:dyDescent="0.25">
      <c r="A888" s="57"/>
    </row>
    <row r="889" spans="1:1" ht="15.75" customHeight="1" x14ac:dyDescent="0.25">
      <c r="A889" s="57"/>
    </row>
    <row r="890" spans="1:1" ht="15.75" customHeight="1" x14ac:dyDescent="0.25">
      <c r="A890" s="57"/>
    </row>
    <row r="891" spans="1:1" ht="15.75" customHeight="1" x14ac:dyDescent="0.25">
      <c r="A891" s="57"/>
    </row>
    <row r="892" spans="1:1" ht="15.75" customHeight="1" x14ac:dyDescent="0.25">
      <c r="A892" s="57"/>
    </row>
    <row r="893" spans="1:1" ht="15.75" customHeight="1" x14ac:dyDescent="0.25">
      <c r="A893" s="57"/>
    </row>
    <row r="894" spans="1:1" ht="15.75" customHeight="1" x14ac:dyDescent="0.25">
      <c r="A894" s="57"/>
    </row>
    <row r="895" spans="1:1" ht="15.75" customHeight="1" x14ac:dyDescent="0.25">
      <c r="A895" s="57"/>
    </row>
    <row r="896" spans="1:1" ht="15.75" customHeight="1" x14ac:dyDescent="0.25">
      <c r="A896" s="57"/>
    </row>
    <row r="897" spans="1:1" ht="15.75" customHeight="1" x14ac:dyDescent="0.25">
      <c r="A897" s="57"/>
    </row>
    <row r="898" spans="1:1" ht="15.75" customHeight="1" x14ac:dyDescent="0.25">
      <c r="A898" s="57"/>
    </row>
    <row r="899" spans="1:1" ht="15.75" customHeight="1" x14ac:dyDescent="0.25">
      <c r="A899" s="57"/>
    </row>
    <row r="900" spans="1:1" ht="15.75" customHeight="1" x14ac:dyDescent="0.25">
      <c r="A900" s="57"/>
    </row>
    <row r="901" spans="1:1" ht="15.75" customHeight="1" x14ac:dyDescent="0.25">
      <c r="A901" s="57"/>
    </row>
    <row r="902" spans="1:1" ht="15.75" customHeight="1" x14ac:dyDescent="0.25">
      <c r="A902" s="57"/>
    </row>
    <row r="903" spans="1:1" ht="15.75" customHeight="1" x14ac:dyDescent="0.25">
      <c r="A903" s="57"/>
    </row>
    <row r="904" spans="1:1" ht="15.75" customHeight="1" x14ac:dyDescent="0.25">
      <c r="A904" s="57"/>
    </row>
    <row r="905" spans="1:1" ht="15.75" customHeight="1" x14ac:dyDescent="0.25">
      <c r="A905" s="57"/>
    </row>
    <row r="906" spans="1:1" ht="15.75" customHeight="1" x14ac:dyDescent="0.25">
      <c r="A906" s="57"/>
    </row>
    <row r="907" spans="1:1" ht="15.75" customHeight="1" x14ac:dyDescent="0.25">
      <c r="A907" s="57"/>
    </row>
    <row r="908" spans="1:1" ht="15.75" customHeight="1" x14ac:dyDescent="0.25">
      <c r="A908" s="57"/>
    </row>
    <row r="909" spans="1:1" ht="15.75" customHeight="1" x14ac:dyDescent="0.25">
      <c r="A909" s="57"/>
    </row>
    <row r="910" spans="1:1" ht="15.75" customHeight="1" x14ac:dyDescent="0.25">
      <c r="A910" s="57"/>
    </row>
    <row r="911" spans="1:1" ht="15.75" customHeight="1" x14ac:dyDescent="0.25">
      <c r="A911" s="57"/>
    </row>
    <row r="912" spans="1:1" ht="15.75" customHeight="1" x14ac:dyDescent="0.25">
      <c r="A912" s="57"/>
    </row>
    <row r="913" spans="1:1" ht="15.75" customHeight="1" x14ac:dyDescent="0.25">
      <c r="A913" s="57"/>
    </row>
    <row r="914" spans="1:1" ht="15.75" customHeight="1" x14ac:dyDescent="0.25">
      <c r="A914" s="57"/>
    </row>
    <row r="915" spans="1:1" ht="15.75" customHeight="1" x14ac:dyDescent="0.25">
      <c r="A915" s="57"/>
    </row>
    <row r="916" spans="1:1" ht="15.75" customHeight="1" x14ac:dyDescent="0.25">
      <c r="A916" s="57"/>
    </row>
    <row r="917" spans="1:1" ht="15.75" customHeight="1" x14ac:dyDescent="0.25">
      <c r="A917" s="57"/>
    </row>
    <row r="918" spans="1:1" ht="15.75" customHeight="1" x14ac:dyDescent="0.25">
      <c r="A918" s="57"/>
    </row>
    <row r="919" spans="1:1" ht="15.75" customHeight="1" x14ac:dyDescent="0.25">
      <c r="A919" s="57"/>
    </row>
    <row r="920" spans="1:1" ht="15.75" customHeight="1" x14ac:dyDescent="0.25">
      <c r="A920" s="57"/>
    </row>
    <row r="921" spans="1:1" ht="15.75" customHeight="1" x14ac:dyDescent="0.25">
      <c r="A921" s="57"/>
    </row>
    <row r="922" spans="1:1" ht="15.75" customHeight="1" x14ac:dyDescent="0.25">
      <c r="A922" s="57"/>
    </row>
    <row r="923" spans="1:1" ht="15.75" customHeight="1" x14ac:dyDescent="0.25">
      <c r="A923" s="57"/>
    </row>
    <row r="924" spans="1:1" ht="15.75" customHeight="1" x14ac:dyDescent="0.25">
      <c r="A924" s="57"/>
    </row>
    <row r="925" spans="1:1" ht="15.75" customHeight="1" x14ac:dyDescent="0.25">
      <c r="A925" s="57"/>
    </row>
    <row r="926" spans="1:1" ht="15.75" customHeight="1" x14ac:dyDescent="0.25">
      <c r="A926" s="57"/>
    </row>
    <row r="927" spans="1:1" ht="15.75" customHeight="1" x14ac:dyDescent="0.25">
      <c r="A927" s="57"/>
    </row>
    <row r="928" spans="1:1" ht="15.75" customHeight="1" x14ac:dyDescent="0.25">
      <c r="A928" s="57"/>
    </row>
    <row r="929" spans="1:1" ht="15.75" customHeight="1" x14ac:dyDescent="0.25">
      <c r="A929" s="57"/>
    </row>
    <row r="930" spans="1:1" ht="15.75" customHeight="1" x14ac:dyDescent="0.25">
      <c r="A930" s="57"/>
    </row>
    <row r="931" spans="1:1" ht="15.75" customHeight="1" x14ac:dyDescent="0.25">
      <c r="A931" s="57"/>
    </row>
    <row r="932" spans="1:1" ht="15.75" customHeight="1" x14ac:dyDescent="0.25">
      <c r="A932" s="57"/>
    </row>
    <row r="933" spans="1:1" ht="15.75" customHeight="1" x14ac:dyDescent="0.25">
      <c r="A933" s="57"/>
    </row>
    <row r="934" spans="1:1" ht="15.75" customHeight="1" x14ac:dyDescent="0.25">
      <c r="A934" s="57"/>
    </row>
    <row r="935" spans="1:1" ht="15.75" customHeight="1" x14ac:dyDescent="0.25">
      <c r="A935" s="57"/>
    </row>
    <row r="936" spans="1:1" ht="15.75" customHeight="1" x14ac:dyDescent="0.25">
      <c r="A936" s="57"/>
    </row>
    <row r="937" spans="1:1" ht="15.75" customHeight="1" x14ac:dyDescent="0.25">
      <c r="A937" s="57"/>
    </row>
    <row r="938" spans="1:1" ht="15.75" customHeight="1" x14ac:dyDescent="0.25">
      <c r="A938" s="57"/>
    </row>
    <row r="939" spans="1:1" ht="15.75" customHeight="1" x14ac:dyDescent="0.25">
      <c r="A939" s="57"/>
    </row>
    <row r="940" spans="1:1" ht="15.75" customHeight="1" x14ac:dyDescent="0.25">
      <c r="A940" s="57"/>
    </row>
    <row r="941" spans="1:1" ht="15.75" customHeight="1" x14ac:dyDescent="0.25">
      <c r="A941" s="57"/>
    </row>
    <row r="942" spans="1:1" ht="15.75" customHeight="1" x14ac:dyDescent="0.25">
      <c r="A942" s="57"/>
    </row>
    <row r="943" spans="1:1" ht="15.75" customHeight="1" x14ac:dyDescent="0.25">
      <c r="A943" s="57"/>
    </row>
    <row r="944" spans="1:1" ht="15.75" customHeight="1" x14ac:dyDescent="0.25">
      <c r="A944" s="57"/>
    </row>
    <row r="945" spans="1:1" ht="15.75" customHeight="1" x14ac:dyDescent="0.25">
      <c r="A945" s="57"/>
    </row>
    <row r="946" spans="1:1" ht="15.75" customHeight="1" x14ac:dyDescent="0.25">
      <c r="A946" s="57"/>
    </row>
    <row r="947" spans="1:1" ht="15.75" customHeight="1" x14ac:dyDescent="0.25">
      <c r="A947" s="57"/>
    </row>
    <row r="948" spans="1:1" ht="15.75" customHeight="1" x14ac:dyDescent="0.25">
      <c r="A948" s="57"/>
    </row>
    <row r="949" spans="1:1" ht="15.75" customHeight="1" x14ac:dyDescent="0.25">
      <c r="A949" s="57"/>
    </row>
    <row r="950" spans="1:1" ht="15.75" customHeight="1" x14ac:dyDescent="0.25">
      <c r="A950" s="57"/>
    </row>
    <row r="951" spans="1:1" ht="15.75" customHeight="1" x14ac:dyDescent="0.25">
      <c r="A951" s="57"/>
    </row>
    <row r="952" spans="1:1" ht="15.75" customHeight="1" x14ac:dyDescent="0.25">
      <c r="A952" s="57"/>
    </row>
    <row r="953" spans="1:1" ht="15.75" customHeight="1" x14ac:dyDescent="0.25">
      <c r="A953" s="57"/>
    </row>
    <row r="954" spans="1:1" ht="15.75" customHeight="1" x14ac:dyDescent="0.25">
      <c r="A954" s="57"/>
    </row>
    <row r="955" spans="1:1" ht="15.75" customHeight="1" x14ac:dyDescent="0.25">
      <c r="A955" s="57"/>
    </row>
    <row r="956" spans="1:1" ht="15.75" customHeight="1" x14ac:dyDescent="0.25">
      <c r="A956" s="57"/>
    </row>
    <row r="957" spans="1:1" ht="15.75" customHeight="1" x14ac:dyDescent="0.25">
      <c r="A957" s="57"/>
    </row>
    <row r="958" spans="1:1" ht="15.75" customHeight="1" x14ac:dyDescent="0.25">
      <c r="A958" s="57"/>
    </row>
    <row r="959" spans="1:1" ht="15.75" customHeight="1" x14ac:dyDescent="0.25">
      <c r="A959" s="57"/>
    </row>
    <row r="960" spans="1:1" ht="15.75" customHeight="1" x14ac:dyDescent="0.25">
      <c r="A960" s="57"/>
    </row>
    <row r="961" spans="1:1" ht="15.75" customHeight="1" x14ac:dyDescent="0.25">
      <c r="A961" s="57"/>
    </row>
    <row r="962" spans="1:1" ht="15.75" customHeight="1" x14ac:dyDescent="0.25">
      <c r="A962" s="57"/>
    </row>
    <row r="963" spans="1:1" ht="15.75" customHeight="1" x14ac:dyDescent="0.25">
      <c r="A963" s="57"/>
    </row>
    <row r="964" spans="1:1" ht="15.75" customHeight="1" x14ac:dyDescent="0.25">
      <c r="A964" s="57"/>
    </row>
    <row r="965" spans="1:1" ht="15.75" customHeight="1" x14ac:dyDescent="0.25">
      <c r="A965" s="57"/>
    </row>
    <row r="966" spans="1:1" ht="15.75" customHeight="1" x14ac:dyDescent="0.25">
      <c r="A966" s="57"/>
    </row>
    <row r="967" spans="1:1" ht="15.75" customHeight="1" x14ac:dyDescent="0.25">
      <c r="A967" s="57"/>
    </row>
    <row r="968" spans="1:1" ht="15.75" customHeight="1" x14ac:dyDescent="0.25">
      <c r="A968" s="57"/>
    </row>
    <row r="969" spans="1:1" ht="15.75" customHeight="1" x14ac:dyDescent="0.25">
      <c r="A969" s="57"/>
    </row>
    <row r="970" spans="1:1" ht="15.75" customHeight="1" x14ac:dyDescent="0.25">
      <c r="A970" s="57"/>
    </row>
    <row r="971" spans="1:1" ht="15.75" customHeight="1" x14ac:dyDescent="0.25">
      <c r="A971" s="57"/>
    </row>
    <row r="972" spans="1:1" ht="15.75" customHeight="1" x14ac:dyDescent="0.25">
      <c r="A972" s="57"/>
    </row>
    <row r="973" spans="1:1" ht="15.75" customHeight="1" x14ac:dyDescent="0.25">
      <c r="A973" s="57"/>
    </row>
    <row r="974" spans="1:1" ht="15.75" customHeight="1" x14ac:dyDescent="0.25">
      <c r="A974" s="57"/>
    </row>
    <row r="975" spans="1:1" ht="15.75" customHeight="1" x14ac:dyDescent="0.25">
      <c r="A975" s="57"/>
    </row>
    <row r="976" spans="1:1" ht="15.75" customHeight="1" x14ac:dyDescent="0.25">
      <c r="A976" s="57"/>
    </row>
    <row r="977" spans="1:1" ht="15.75" customHeight="1" x14ac:dyDescent="0.25">
      <c r="A977" s="57"/>
    </row>
    <row r="978" spans="1:1" ht="15.75" customHeight="1" x14ac:dyDescent="0.25">
      <c r="A978" s="57"/>
    </row>
    <row r="979" spans="1:1" ht="15.75" customHeight="1" x14ac:dyDescent="0.25">
      <c r="A979" s="57"/>
    </row>
    <row r="980" spans="1:1" ht="15.75" customHeight="1" x14ac:dyDescent="0.25">
      <c r="A980" s="57"/>
    </row>
    <row r="981" spans="1:1" ht="15.75" customHeight="1" x14ac:dyDescent="0.25">
      <c r="A981" s="57"/>
    </row>
    <row r="982" spans="1:1" ht="15.75" customHeight="1" x14ac:dyDescent="0.25">
      <c r="A982" s="57"/>
    </row>
    <row r="983" spans="1:1" ht="15.75" customHeight="1" x14ac:dyDescent="0.25">
      <c r="A983" s="57"/>
    </row>
    <row r="984" spans="1:1" ht="15.75" customHeight="1" x14ac:dyDescent="0.25">
      <c r="A984" s="57"/>
    </row>
    <row r="985" spans="1:1" ht="15.75" customHeight="1" x14ac:dyDescent="0.25">
      <c r="A985" s="57"/>
    </row>
    <row r="986" spans="1:1" ht="15.75" customHeight="1" x14ac:dyDescent="0.25">
      <c r="A986" s="57"/>
    </row>
    <row r="987" spans="1:1" ht="15.75" customHeight="1" x14ac:dyDescent="0.25">
      <c r="A987" s="57"/>
    </row>
    <row r="988" spans="1:1" ht="15.75" customHeight="1" x14ac:dyDescent="0.25">
      <c r="A988" s="57"/>
    </row>
  </sheetData>
  <mergeCells count="18">
    <mergeCell ref="B20:C20"/>
    <mergeCell ref="B21:C21"/>
    <mergeCell ref="A1:M1"/>
    <mergeCell ref="A3:M3"/>
    <mergeCell ref="G6:M6"/>
    <mergeCell ref="B7:D7"/>
    <mergeCell ref="B5:N5"/>
    <mergeCell ref="B17:C17"/>
    <mergeCell ref="B19:C19"/>
    <mergeCell ref="G42:M42"/>
    <mergeCell ref="B43:D43"/>
    <mergeCell ref="B50:C50"/>
    <mergeCell ref="B22:C22"/>
    <mergeCell ref="B23:C23"/>
    <mergeCell ref="G23:M23"/>
    <mergeCell ref="G37:M38"/>
    <mergeCell ref="B30:C30"/>
    <mergeCell ref="B24:D24"/>
  </mergeCells>
  <pageMargins left="0.7" right="0.7" top="0.75" bottom="0.75" header="0" footer="0"/>
  <pageSetup fitToHeight="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997"/>
  <sheetViews>
    <sheetView tabSelected="1" workbookViewId="0">
      <selection activeCell="G2" sqref="G2"/>
    </sheetView>
  </sheetViews>
  <sheetFormatPr baseColWidth="10" defaultColWidth="14.42578125" defaultRowHeight="15" customHeight="1" x14ac:dyDescent="0.25"/>
  <cols>
    <col min="1" max="1" width="7.28515625" style="139" customWidth="1"/>
    <col min="2" max="2" width="10.7109375" style="139" customWidth="1"/>
    <col min="3" max="3" width="20.42578125" style="139" customWidth="1"/>
    <col min="4" max="4" width="14.85546875" style="139" customWidth="1"/>
    <col min="5" max="26" width="10.7109375" style="139" customWidth="1"/>
    <col min="27" max="16384" width="14.42578125" style="139"/>
  </cols>
  <sheetData>
    <row r="1" spans="1:26" ht="90.75" customHeight="1" x14ac:dyDescent="0.25">
      <c r="A1" s="136"/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8"/>
      <c r="O1" s="138"/>
      <c r="P1" s="138"/>
      <c r="Q1" s="138"/>
    </row>
    <row r="2" spans="1:26" ht="15.75" x14ac:dyDescent="0.25">
      <c r="A2" s="138"/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</row>
    <row r="3" spans="1:26" ht="15.75" x14ac:dyDescent="0.25">
      <c r="A3" s="141" t="s">
        <v>61</v>
      </c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8"/>
      <c r="O3" s="138"/>
      <c r="P3" s="138"/>
      <c r="Q3" s="138"/>
    </row>
    <row r="4" spans="1:26" ht="15.75" x14ac:dyDescent="0.25">
      <c r="A4" s="138"/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</row>
    <row r="5" spans="1:26" ht="15.75" x14ac:dyDescent="0.25">
      <c r="A5" s="138"/>
      <c r="B5" s="141" t="s">
        <v>76</v>
      </c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</row>
    <row r="6" spans="1:26" ht="15.75" x14ac:dyDescent="0.25">
      <c r="A6" s="138"/>
      <c r="B6" s="140"/>
      <c r="C6" s="140"/>
      <c r="D6" s="140"/>
      <c r="E6" s="140"/>
      <c r="F6" s="140"/>
      <c r="G6" s="142" t="s">
        <v>65</v>
      </c>
      <c r="H6" s="137"/>
      <c r="I6" s="137"/>
      <c r="J6" s="137"/>
      <c r="K6" s="137"/>
      <c r="L6" s="137"/>
      <c r="M6" s="137"/>
      <c r="N6" s="140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</row>
    <row r="7" spans="1:26" ht="15.75" x14ac:dyDescent="0.25">
      <c r="A7" s="143"/>
      <c r="B7" s="126" t="s">
        <v>64</v>
      </c>
      <c r="C7" s="127"/>
      <c r="D7" s="12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</row>
    <row r="8" spans="1:26" ht="17.25" customHeight="1" x14ac:dyDescent="0.25">
      <c r="A8" s="143"/>
      <c r="B8" s="167" t="s">
        <v>73</v>
      </c>
      <c r="C8" s="167" t="s">
        <v>8</v>
      </c>
      <c r="D8" s="167" t="s">
        <v>75</v>
      </c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</row>
    <row r="9" spans="1:26" ht="15.75" x14ac:dyDescent="0.25">
      <c r="A9" s="138"/>
      <c r="B9" s="147">
        <v>1</v>
      </c>
      <c r="C9" s="148" t="s">
        <v>1</v>
      </c>
      <c r="D9" s="149">
        <v>169</v>
      </c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</row>
    <row r="10" spans="1:26" ht="15.75" x14ac:dyDescent="0.25">
      <c r="A10" s="138"/>
      <c r="B10" s="147">
        <v>2</v>
      </c>
      <c r="C10" s="150" t="s">
        <v>30</v>
      </c>
      <c r="D10" s="149">
        <v>198</v>
      </c>
      <c r="E10" s="138"/>
      <c r="F10" s="138"/>
      <c r="G10" s="138"/>
      <c r="H10" s="138"/>
      <c r="I10" s="138"/>
      <c r="J10" s="138"/>
      <c r="K10" s="138"/>
      <c r="L10" s="138"/>
      <c r="M10" s="138"/>
      <c r="N10" s="138"/>
    </row>
    <row r="11" spans="1:26" ht="15.75" x14ac:dyDescent="0.25">
      <c r="A11" s="138"/>
      <c r="B11" s="147">
        <v>3</v>
      </c>
      <c r="C11" s="150" t="s">
        <v>2</v>
      </c>
      <c r="D11" s="149">
        <v>61</v>
      </c>
      <c r="E11" s="138"/>
      <c r="F11" s="138"/>
      <c r="G11" s="138"/>
      <c r="H11" s="138"/>
      <c r="I11" s="138"/>
      <c r="J11" s="138"/>
      <c r="K11" s="138"/>
      <c r="L11" s="138"/>
      <c r="M11" s="138"/>
      <c r="N11" s="138"/>
    </row>
    <row r="12" spans="1:26" ht="31.5" x14ac:dyDescent="0.25">
      <c r="A12" s="138"/>
      <c r="B12" s="147">
        <v>4</v>
      </c>
      <c r="C12" s="148" t="s">
        <v>3</v>
      </c>
      <c r="D12" s="149">
        <v>18</v>
      </c>
      <c r="E12" s="138"/>
      <c r="F12" s="138"/>
      <c r="G12" s="138"/>
      <c r="H12" s="138"/>
      <c r="I12" s="138"/>
      <c r="J12" s="138"/>
      <c r="K12" s="138"/>
      <c r="L12" s="138"/>
      <c r="M12" s="138"/>
      <c r="N12" s="138"/>
    </row>
    <row r="13" spans="1:26" ht="15.75" x14ac:dyDescent="0.25">
      <c r="A13" s="138"/>
      <c r="B13" s="147">
        <v>5</v>
      </c>
      <c r="C13" s="148" t="s">
        <v>4</v>
      </c>
      <c r="D13" s="149">
        <v>5</v>
      </c>
      <c r="E13" s="138"/>
      <c r="F13" s="138"/>
      <c r="G13" s="138"/>
      <c r="H13" s="138"/>
      <c r="I13" s="138"/>
      <c r="J13" s="138"/>
      <c r="K13" s="138"/>
      <c r="L13" s="138"/>
      <c r="M13" s="138"/>
      <c r="N13" s="138"/>
    </row>
    <row r="14" spans="1:26" ht="15.75" x14ac:dyDescent="0.25">
      <c r="A14" s="138"/>
      <c r="B14" s="147">
        <v>6</v>
      </c>
      <c r="C14" s="148" t="s">
        <v>37</v>
      </c>
      <c r="D14" s="151">
        <v>0</v>
      </c>
      <c r="E14" s="138"/>
      <c r="F14" s="138"/>
      <c r="G14" s="138"/>
      <c r="H14" s="138"/>
      <c r="I14" s="138"/>
      <c r="J14" s="138"/>
      <c r="K14" s="138"/>
      <c r="L14" s="138"/>
      <c r="M14" s="138"/>
      <c r="N14" s="138"/>
    </row>
    <row r="15" spans="1:26" ht="15.75" x14ac:dyDescent="0.25">
      <c r="A15" s="138"/>
      <c r="B15" s="147">
        <v>7</v>
      </c>
      <c r="C15" s="148" t="s">
        <v>38</v>
      </c>
      <c r="D15" s="149">
        <v>4</v>
      </c>
      <c r="E15" s="138"/>
      <c r="F15" s="138"/>
      <c r="G15" s="138"/>
      <c r="H15" s="138"/>
      <c r="I15" s="138"/>
      <c r="J15" s="138"/>
      <c r="K15" s="138"/>
      <c r="L15" s="138"/>
      <c r="M15" s="138"/>
      <c r="N15" s="138"/>
    </row>
    <row r="16" spans="1:26" ht="31.5" x14ac:dyDescent="0.25">
      <c r="A16" s="138"/>
      <c r="B16" s="147">
        <v>8</v>
      </c>
      <c r="C16" s="148" t="s">
        <v>74</v>
      </c>
      <c r="D16" s="149">
        <v>0</v>
      </c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</row>
    <row r="17" spans="1:26" ht="15.75" x14ac:dyDescent="0.25">
      <c r="A17" s="138"/>
      <c r="B17" s="144" t="s">
        <v>23</v>
      </c>
      <c r="C17" s="145"/>
      <c r="D17" s="152">
        <f>SUM(D9:D16)</f>
        <v>455</v>
      </c>
      <c r="E17" s="138"/>
      <c r="F17" s="138"/>
      <c r="G17" s="138"/>
      <c r="H17" s="138"/>
      <c r="I17" s="138"/>
      <c r="J17" s="138"/>
      <c r="K17" s="138"/>
      <c r="L17" s="138"/>
      <c r="M17" s="138"/>
      <c r="N17" s="138"/>
    </row>
    <row r="18" spans="1:26" ht="15.75" x14ac:dyDescent="0.25">
      <c r="A18" s="138"/>
      <c r="B18" s="138"/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</row>
    <row r="19" spans="1:26" ht="15.75" x14ac:dyDescent="0.25">
      <c r="A19" s="138"/>
      <c r="B19" s="153"/>
      <c r="C19" s="137"/>
      <c r="D19" s="154"/>
      <c r="E19" s="138"/>
      <c r="F19" s="138"/>
      <c r="G19" s="138" t="s">
        <v>41</v>
      </c>
      <c r="H19" s="138"/>
      <c r="I19" s="138"/>
      <c r="J19" s="138"/>
      <c r="K19" s="138"/>
      <c r="L19" s="138"/>
      <c r="M19" s="138"/>
      <c r="N19" s="138"/>
    </row>
    <row r="20" spans="1:26" ht="15.75" x14ac:dyDescent="0.25">
      <c r="A20" s="138"/>
      <c r="B20" s="153"/>
      <c r="C20" s="137"/>
      <c r="D20" s="154"/>
      <c r="E20" s="138"/>
      <c r="F20" s="138"/>
      <c r="G20" s="138"/>
      <c r="H20" s="138"/>
      <c r="I20" s="138"/>
      <c r="J20" s="138"/>
      <c r="K20" s="138"/>
      <c r="L20" s="138"/>
      <c r="M20" s="138"/>
      <c r="N20" s="138"/>
    </row>
    <row r="21" spans="1:26" ht="15.75" x14ac:dyDescent="0.25">
      <c r="A21" s="138"/>
      <c r="B21" s="153"/>
      <c r="C21" s="137"/>
      <c r="D21" s="154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</row>
    <row r="22" spans="1:26" ht="15.75" customHeight="1" x14ac:dyDescent="0.25">
      <c r="A22" s="138"/>
      <c r="B22" s="153"/>
      <c r="C22" s="137"/>
      <c r="D22" s="154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</row>
    <row r="23" spans="1:26" ht="15.75" customHeight="1" x14ac:dyDescent="0.25">
      <c r="A23" s="138"/>
      <c r="B23" s="153"/>
      <c r="C23" s="137"/>
      <c r="D23" s="154"/>
      <c r="E23" s="138"/>
      <c r="F23" s="138"/>
      <c r="G23" s="141" t="s">
        <v>67</v>
      </c>
      <c r="H23" s="137"/>
      <c r="I23" s="137"/>
      <c r="J23" s="137"/>
      <c r="K23" s="137"/>
      <c r="L23" s="137"/>
      <c r="M23" s="137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  <c r="Z23" s="138"/>
    </row>
    <row r="24" spans="1:26" ht="15.75" customHeight="1" x14ac:dyDescent="0.25">
      <c r="A24" s="138"/>
      <c r="B24" s="134" t="s">
        <v>66</v>
      </c>
      <c r="C24" s="127"/>
      <c r="D24" s="128"/>
      <c r="E24" s="138"/>
      <c r="F24" s="138"/>
      <c r="G24" s="138"/>
      <c r="H24" s="138"/>
      <c r="I24" s="138"/>
      <c r="J24" s="138"/>
      <c r="K24" s="138"/>
      <c r="L24" s="138"/>
      <c r="M24" s="138"/>
      <c r="N24" s="138"/>
    </row>
    <row r="25" spans="1:26" ht="28.5" customHeight="1" x14ac:dyDescent="0.25">
      <c r="A25" s="138"/>
      <c r="B25" s="147" t="s">
        <v>73</v>
      </c>
      <c r="C25" s="155" t="s">
        <v>72</v>
      </c>
      <c r="D25" s="147" t="s">
        <v>70</v>
      </c>
      <c r="E25" s="138"/>
      <c r="F25" s="138"/>
      <c r="G25" s="138"/>
      <c r="H25" s="138"/>
      <c r="I25" s="138"/>
      <c r="J25" s="138"/>
      <c r="K25" s="138"/>
      <c r="L25" s="138"/>
      <c r="M25" s="138"/>
      <c r="N25" s="138"/>
    </row>
    <row r="26" spans="1:26" ht="15.75" customHeight="1" x14ac:dyDescent="0.25">
      <c r="A26" s="138"/>
      <c r="B26" s="156">
        <v>1</v>
      </c>
      <c r="C26" s="157" t="s">
        <v>5</v>
      </c>
      <c r="D26" s="158">
        <v>11</v>
      </c>
      <c r="E26" s="138"/>
      <c r="F26" s="138"/>
      <c r="G26" s="138"/>
      <c r="H26" s="138"/>
      <c r="I26" s="138"/>
      <c r="J26" s="138"/>
      <c r="K26" s="138"/>
      <c r="L26" s="138"/>
      <c r="M26" s="138"/>
      <c r="N26" s="138"/>
    </row>
    <row r="27" spans="1:26" ht="31.5" customHeight="1" x14ac:dyDescent="0.25">
      <c r="A27" s="138"/>
      <c r="B27" s="147">
        <v>2</v>
      </c>
      <c r="C27" s="146" t="s">
        <v>31</v>
      </c>
      <c r="D27" s="158">
        <v>420</v>
      </c>
      <c r="E27" s="138"/>
      <c r="F27" s="138"/>
      <c r="G27" s="138"/>
      <c r="H27" s="138"/>
      <c r="I27" s="138"/>
      <c r="J27" s="138"/>
      <c r="K27" s="138"/>
      <c r="L27" s="138"/>
      <c r="M27" s="138"/>
      <c r="N27" s="138"/>
    </row>
    <row r="28" spans="1:26" ht="15.75" customHeight="1" x14ac:dyDescent="0.25">
      <c r="A28" s="138"/>
      <c r="B28" s="156">
        <v>3</v>
      </c>
      <c r="C28" s="159" t="s">
        <v>6</v>
      </c>
      <c r="D28" s="149">
        <v>2</v>
      </c>
      <c r="E28" s="138"/>
      <c r="F28" s="138"/>
      <c r="G28" s="138"/>
      <c r="H28" s="138"/>
      <c r="I28" s="138"/>
      <c r="J28" s="138"/>
      <c r="K28" s="138"/>
      <c r="L28" s="138"/>
      <c r="M28" s="138"/>
      <c r="N28" s="138"/>
    </row>
    <row r="29" spans="1:26" ht="15.75" customHeight="1" x14ac:dyDescent="0.25">
      <c r="A29" s="138"/>
      <c r="B29" s="156">
        <v>4</v>
      </c>
      <c r="C29" s="157" t="s">
        <v>7</v>
      </c>
      <c r="D29" s="149">
        <v>0</v>
      </c>
      <c r="E29" s="138"/>
      <c r="F29" s="138"/>
      <c r="G29" s="138"/>
      <c r="H29" s="138"/>
      <c r="I29" s="138"/>
      <c r="J29" s="138"/>
      <c r="K29" s="138"/>
      <c r="L29" s="138"/>
      <c r="M29" s="138"/>
      <c r="N29" s="138"/>
    </row>
    <row r="30" spans="1:26" ht="15.75" customHeight="1" x14ac:dyDescent="0.25">
      <c r="A30" s="138"/>
      <c r="B30" s="160" t="s">
        <v>23</v>
      </c>
      <c r="C30" s="145"/>
      <c r="D30" s="147">
        <f>SUM(D26:D29)</f>
        <v>433</v>
      </c>
      <c r="E30" s="138"/>
      <c r="F30" s="138"/>
      <c r="G30" s="138"/>
      <c r="H30" s="138"/>
      <c r="I30" s="138"/>
      <c r="J30" s="138"/>
      <c r="K30" s="138"/>
      <c r="L30" s="138"/>
      <c r="M30" s="138"/>
      <c r="N30" s="138"/>
    </row>
    <row r="31" spans="1:26" ht="15.75" customHeight="1" x14ac:dyDescent="0.25">
      <c r="A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</row>
    <row r="32" spans="1:26" ht="15.75" customHeight="1" x14ac:dyDescent="0.25">
      <c r="A32" s="138"/>
      <c r="E32" s="138"/>
      <c r="F32" s="138"/>
      <c r="G32" s="138"/>
      <c r="H32" s="138"/>
      <c r="I32" s="138"/>
      <c r="J32" s="138"/>
      <c r="K32" s="138"/>
      <c r="L32" s="138"/>
      <c r="M32" s="138"/>
      <c r="N32" s="138"/>
    </row>
    <row r="33" spans="1:26" ht="15.75" customHeight="1" x14ac:dyDescent="0.25">
      <c r="A33" s="138"/>
      <c r="E33" s="138"/>
      <c r="F33" s="138"/>
      <c r="G33" s="138"/>
      <c r="H33" s="138"/>
      <c r="I33" s="138"/>
      <c r="J33" s="138"/>
      <c r="K33" s="138"/>
      <c r="L33" s="138"/>
      <c r="M33" s="138"/>
      <c r="N33" s="138"/>
    </row>
    <row r="34" spans="1:26" ht="15.75" customHeight="1" x14ac:dyDescent="0.25">
      <c r="A34" s="138"/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</row>
    <row r="35" spans="1:26" ht="15.75" customHeight="1" x14ac:dyDescent="0.25">
      <c r="A35" s="138"/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</row>
    <row r="36" spans="1:26" ht="15.75" customHeight="1" x14ac:dyDescent="0.25">
      <c r="A36" s="138"/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</row>
    <row r="37" spans="1:26" ht="15.75" customHeight="1" x14ac:dyDescent="0.25">
      <c r="A37" s="138"/>
      <c r="B37" s="138"/>
      <c r="C37" s="138"/>
      <c r="D37" s="138"/>
      <c r="E37" s="138"/>
      <c r="F37" s="138"/>
      <c r="G37" s="161" t="s">
        <v>42</v>
      </c>
      <c r="H37" s="137"/>
      <c r="I37" s="137"/>
      <c r="J37" s="137"/>
      <c r="K37" s="137"/>
      <c r="L37" s="137"/>
      <c r="M37" s="137"/>
      <c r="N37" s="138"/>
    </row>
    <row r="38" spans="1:26" ht="15.75" customHeight="1" x14ac:dyDescent="0.25">
      <c r="A38" s="138"/>
      <c r="B38" s="138"/>
      <c r="C38" s="138"/>
      <c r="D38" s="138"/>
      <c r="E38" s="138"/>
      <c r="F38" s="138"/>
      <c r="G38" s="137"/>
      <c r="H38" s="137"/>
      <c r="I38" s="137"/>
      <c r="J38" s="137"/>
      <c r="K38" s="137"/>
      <c r="L38" s="137"/>
      <c r="M38" s="137"/>
      <c r="N38" s="138"/>
    </row>
    <row r="39" spans="1:26" ht="15.75" customHeight="1" x14ac:dyDescent="0.25">
      <c r="A39" s="138"/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</row>
    <row r="40" spans="1:26" ht="15.75" customHeight="1" x14ac:dyDescent="0.25">
      <c r="A40" s="138"/>
      <c r="B40" s="138"/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</row>
    <row r="41" spans="1:26" ht="15.75" customHeight="1" x14ac:dyDescent="0.25">
      <c r="A41" s="138"/>
      <c r="B41" s="138"/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</row>
    <row r="42" spans="1:26" ht="31.5" customHeight="1" x14ac:dyDescent="0.25">
      <c r="A42" s="138"/>
      <c r="E42" s="162"/>
      <c r="F42" s="138"/>
      <c r="G42" s="141" t="s">
        <v>69</v>
      </c>
      <c r="H42" s="137"/>
      <c r="I42" s="137"/>
      <c r="J42" s="137"/>
      <c r="K42" s="137"/>
      <c r="L42" s="137"/>
      <c r="M42" s="137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138"/>
      <c r="Z42" s="138"/>
    </row>
    <row r="43" spans="1:26" ht="15.75" customHeight="1" x14ac:dyDescent="0.25">
      <c r="A43" s="138"/>
      <c r="B43" s="126" t="s">
        <v>68</v>
      </c>
      <c r="C43" s="127"/>
      <c r="D43" s="12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</row>
    <row r="44" spans="1:26" ht="15.75" customHeight="1" x14ac:dyDescent="0.25">
      <c r="A44" s="138"/>
      <c r="B44" s="163" t="s">
        <v>71</v>
      </c>
      <c r="C44" s="164" t="s">
        <v>19</v>
      </c>
      <c r="D44" s="165" t="s">
        <v>70</v>
      </c>
      <c r="E44" s="138"/>
      <c r="F44" s="138"/>
      <c r="G44" s="138"/>
      <c r="H44" s="138"/>
      <c r="I44" s="138"/>
      <c r="J44" s="138"/>
      <c r="K44" s="138"/>
      <c r="L44" s="138"/>
      <c r="M44" s="138"/>
      <c r="N44" s="138"/>
    </row>
    <row r="45" spans="1:26" ht="15.75" customHeight="1" x14ac:dyDescent="0.25">
      <c r="A45" s="138"/>
      <c r="B45" s="156">
        <v>1</v>
      </c>
      <c r="C45" s="157" t="s">
        <v>10</v>
      </c>
      <c r="D45" s="158">
        <v>13</v>
      </c>
      <c r="E45" s="138"/>
      <c r="F45" s="138"/>
      <c r="G45" s="138"/>
      <c r="H45" s="138"/>
      <c r="I45" s="138"/>
      <c r="J45" s="138"/>
      <c r="K45" s="138"/>
      <c r="L45" s="138"/>
      <c r="M45" s="138"/>
      <c r="N45" s="138"/>
    </row>
    <row r="46" spans="1:26" ht="15.75" customHeight="1" x14ac:dyDescent="0.25">
      <c r="A46" s="138"/>
      <c r="B46" s="156">
        <v>2</v>
      </c>
      <c r="C46" s="157" t="s">
        <v>11</v>
      </c>
      <c r="D46" s="158">
        <v>427</v>
      </c>
      <c r="E46" s="138"/>
      <c r="F46" s="138"/>
      <c r="G46" s="138"/>
      <c r="H46" s="138"/>
      <c r="I46" s="138"/>
      <c r="J46" s="138"/>
      <c r="K46" s="138"/>
      <c r="L46" s="138"/>
      <c r="M46" s="138"/>
      <c r="N46" s="138"/>
    </row>
    <row r="47" spans="1:26" ht="15.75" customHeight="1" x14ac:dyDescent="0.25">
      <c r="A47" s="138"/>
      <c r="B47" s="156">
        <v>3</v>
      </c>
      <c r="C47" s="157" t="s">
        <v>33</v>
      </c>
      <c r="D47" s="158">
        <v>0</v>
      </c>
      <c r="E47" s="138"/>
      <c r="F47" s="138"/>
      <c r="G47" s="138"/>
      <c r="H47" s="138"/>
      <c r="I47" s="138"/>
      <c r="J47" s="138"/>
      <c r="K47" s="138"/>
      <c r="L47" s="138"/>
      <c r="M47" s="138"/>
      <c r="N47" s="138"/>
    </row>
    <row r="48" spans="1:26" ht="15.75" customHeight="1" x14ac:dyDescent="0.25">
      <c r="A48" s="138"/>
      <c r="B48" s="156">
        <v>4</v>
      </c>
      <c r="C48" s="157" t="s">
        <v>32</v>
      </c>
      <c r="D48" s="158">
        <v>15</v>
      </c>
      <c r="E48" s="138"/>
      <c r="F48" s="138"/>
      <c r="G48" s="138"/>
      <c r="H48" s="138"/>
      <c r="I48" s="138"/>
      <c r="J48" s="138"/>
      <c r="K48" s="138"/>
      <c r="L48" s="138"/>
      <c r="M48" s="138"/>
      <c r="N48" s="138"/>
    </row>
    <row r="49" spans="1:21" ht="15.75" customHeight="1" x14ac:dyDescent="0.25">
      <c r="A49" s="138"/>
      <c r="B49" s="156">
        <v>5</v>
      </c>
      <c r="C49" s="157" t="s">
        <v>12</v>
      </c>
      <c r="D49" s="158">
        <v>0</v>
      </c>
      <c r="E49" s="138"/>
      <c r="F49" s="138"/>
      <c r="G49" s="138"/>
      <c r="H49" s="138"/>
      <c r="I49" s="138"/>
      <c r="J49" s="138"/>
      <c r="K49" s="138"/>
      <c r="L49" s="138"/>
      <c r="M49" s="138"/>
      <c r="N49" s="138"/>
    </row>
    <row r="50" spans="1:21" ht="15.75" customHeight="1" x14ac:dyDescent="0.25">
      <c r="A50" s="138"/>
      <c r="B50" s="144" t="s">
        <v>23</v>
      </c>
      <c r="C50" s="145"/>
      <c r="D50" s="156">
        <f>SUM(D45:D49)</f>
        <v>455</v>
      </c>
      <c r="E50" s="138"/>
      <c r="F50" s="138"/>
      <c r="G50" s="138"/>
      <c r="H50" s="138"/>
      <c r="I50" s="138"/>
      <c r="J50" s="138"/>
      <c r="K50" s="138"/>
      <c r="L50" s="138"/>
      <c r="M50" s="138"/>
      <c r="N50" s="138"/>
    </row>
    <row r="51" spans="1:21" ht="15.75" customHeight="1" x14ac:dyDescent="0.25">
      <c r="A51" s="138"/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</row>
    <row r="52" spans="1:21" ht="15.75" customHeight="1" x14ac:dyDescent="0.25">
      <c r="A52" s="138"/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</row>
    <row r="53" spans="1:21" ht="15.75" customHeight="1" x14ac:dyDescent="0.25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</row>
    <row r="54" spans="1:21" ht="15.75" customHeight="1" x14ac:dyDescent="0.25">
      <c r="A54" s="138"/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</row>
    <row r="55" spans="1:21" ht="15.75" customHeight="1" x14ac:dyDescent="0.25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</row>
    <row r="56" spans="1:21" ht="15.75" customHeight="1" x14ac:dyDescent="0.25">
      <c r="A56" s="138"/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</row>
    <row r="57" spans="1:21" ht="15.75" customHeight="1" x14ac:dyDescent="0.25">
      <c r="A57" s="138"/>
      <c r="E57" s="138"/>
      <c r="F57" s="138"/>
      <c r="G57" s="138" t="s">
        <v>41</v>
      </c>
      <c r="H57" s="138"/>
      <c r="I57" s="138"/>
      <c r="J57" s="138"/>
      <c r="K57" s="138"/>
      <c r="L57" s="138"/>
      <c r="M57" s="138"/>
      <c r="N57" s="138"/>
    </row>
    <row r="58" spans="1:21" ht="15.75" customHeight="1" x14ac:dyDescent="0.25">
      <c r="A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</row>
    <row r="59" spans="1:21" ht="15.75" customHeight="1" x14ac:dyDescent="0.25">
      <c r="A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</row>
    <row r="60" spans="1:21" ht="15.75" customHeight="1" x14ac:dyDescent="0.25">
      <c r="A60" s="138"/>
      <c r="E60" s="138"/>
      <c r="F60" s="138"/>
      <c r="I60" s="138"/>
      <c r="J60" s="138"/>
      <c r="K60" s="138"/>
      <c r="L60" s="138"/>
      <c r="M60" s="138"/>
      <c r="N60" s="138"/>
    </row>
    <row r="61" spans="1:21" ht="15.75" customHeight="1" x14ac:dyDescent="0.25">
      <c r="A61" s="138"/>
      <c r="B61" s="141"/>
      <c r="C61" s="137"/>
      <c r="D61" s="137"/>
      <c r="E61" s="137"/>
      <c r="F61" s="137"/>
      <c r="G61" s="137"/>
      <c r="H61" s="137"/>
      <c r="I61" s="138"/>
    </row>
    <row r="62" spans="1:21" ht="31.5" customHeight="1" x14ac:dyDescent="0.25">
      <c r="A62" s="138"/>
      <c r="B62" s="138"/>
      <c r="C62" s="138"/>
      <c r="D62" s="138"/>
      <c r="E62" s="138"/>
      <c r="F62" s="138"/>
      <c r="G62" s="138"/>
      <c r="H62" s="138"/>
      <c r="I62" s="138"/>
    </row>
    <row r="63" spans="1:21" ht="28.5" customHeight="1" x14ac:dyDescent="0.25">
      <c r="A63" s="138"/>
      <c r="B63" s="138"/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</row>
    <row r="64" spans="1:21" ht="15.75" customHeight="1" x14ac:dyDescent="0.25">
      <c r="A64" s="138"/>
      <c r="B64" s="138"/>
      <c r="C64" s="138"/>
      <c r="D64" s="138"/>
      <c r="E64" s="138"/>
      <c r="F64" s="138"/>
      <c r="G64" s="138"/>
      <c r="H64" s="138"/>
      <c r="I64" s="138"/>
    </row>
    <row r="65" spans="1:14" ht="15.75" customHeight="1" x14ac:dyDescent="0.25">
      <c r="A65" s="138"/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</row>
    <row r="66" spans="1:14" ht="15.75" customHeight="1" x14ac:dyDescent="0.25">
      <c r="A66" s="138"/>
      <c r="B66" s="138"/>
      <c r="C66" s="138"/>
      <c r="D66" s="138"/>
      <c r="E66" s="138"/>
      <c r="F66" s="138"/>
      <c r="G66" s="161"/>
      <c r="H66" s="137"/>
      <c r="I66" s="137"/>
      <c r="J66" s="137"/>
      <c r="K66" s="137"/>
      <c r="L66" s="137"/>
      <c r="M66" s="137"/>
      <c r="N66" s="138"/>
    </row>
    <row r="67" spans="1:14" ht="69.75" customHeight="1" x14ac:dyDescent="0.25">
      <c r="A67" s="138"/>
      <c r="B67" s="138"/>
      <c r="C67" s="138"/>
      <c r="D67" s="138"/>
      <c r="E67" s="138"/>
      <c r="F67" s="138"/>
      <c r="G67" s="137"/>
      <c r="H67" s="137"/>
      <c r="I67" s="137"/>
      <c r="J67" s="137"/>
      <c r="K67" s="137"/>
      <c r="L67" s="137"/>
      <c r="M67" s="137"/>
      <c r="N67" s="138"/>
    </row>
    <row r="68" spans="1:14" ht="15.75" customHeight="1" x14ac:dyDescent="0.25">
      <c r="A68" s="138"/>
    </row>
    <row r="69" spans="1:14" ht="15.75" customHeight="1" x14ac:dyDescent="0.25">
      <c r="A69" s="138"/>
    </row>
    <row r="70" spans="1:14" ht="15.75" customHeight="1" x14ac:dyDescent="0.25">
      <c r="A70" s="138"/>
    </row>
    <row r="71" spans="1:14" ht="15.75" customHeight="1" x14ac:dyDescent="0.25">
      <c r="A71" s="138"/>
    </row>
    <row r="72" spans="1:14" ht="15.75" customHeight="1" x14ac:dyDescent="0.25">
      <c r="A72" s="138"/>
    </row>
    <row r="73" spans="1:14" ht="15.75" customHeight="1" x14ac:dyDescent="0.25">
      <c r="A73" s="138"/>
    </row>
    <row r="74" spans="1:14" ht="15.75" customHeight="1" x14ac:dyDescent="0.25">
      <c r="A74" s="138"/>
    </row>
    <row r="75" spans="1:14" ht="15.75" customHeight="1" x14ac:dyDescent="0.25">
      <c r="A75" s="138"/>
    </row>
    <row r="76" spans="1:14" ht="15.75" customHeight="1" x14ac:dyDescent="0.25">
      <c r="A76" s="138"/>
    </row>
    <row r="77" spans="1:14" ht="15.75" customHeight="1" x14ac:dyDescent="0.25">
      <c r="A77" s="138"/>
    </row>
    <row r="78" spans="1:14" ht="15.75" customHeight="1" x14ac:dyDescent="0.25">
      <c r="A78" s="138"/>
    </row>
    <row r="79" spans="1:14" ht="15.75" customHeight="1" x14ac:dyDescent="0.25">
      <c r="A79" s="138"/>
    </row>
    <row r="80" spans="1:14" ht="15.75" customHeight="1" x14ac:dyDescent="0.25">
      <c r="A80" s="138"/>
    </row>
    <row r="81" spans="1:1" ht="15.75" customHeight="1" x14ac:dyDescent="0.25">
      <c r="A81" s="138"/>
    </row>
    <row r="82" spans="1:1" ht="15.75" customHeight="1" x14ac:dyDescent="0.25">
      <c r="A82" s="138"/>
    </row>
    <row r="83" spans="1:1" ht="15.75" customHeight="1" x14ac:dyDescent="0.25">
      <c r="A83" s="138"/>
    </row>
    <row r="84" spans="1:1" ht="15.75" customHeight="1" x14ac:dyDescent="0.25">
      <c r="A84" s="138"/>
    </row>
    <row r="85" spans="1:1" ht="15.75" customHeight="1" x14ac:dyDescent="0.25">
      <c r="A85" s="138"/>
    </row>
    <row r="86" spans="1:1" ht="15.75" customHeight="1" x14ac:dyDescent="0.25">
      <c r="A86" s="138"/>
    </row>
    <row r="87" spans="1:1" ht="15.75" customHeight="1" x14ac:dyDescent="0.25">
      <c r="A87" s="138"/>
    </row>
    <row r="88" spans="1:1" ht="15.75" customHeight="1" x14ac:dyDescent="0.25">
      <c r="A88" s="138"/>
    </row>
    <row r="89" spans="1:1" ht="15.75" customHeight="1" x14ac:dyDescent="0.25">
      <c r="A89" s="138"/>
    </row>
    <row r="90" spans="1:1" ht="15.75" customHeight="1" x14ac:dyDescent="0.25">
      <c r="A90" s="138"/>
    </row>
    <row r="91" spans="1:1" ht="15.75" customHeight="1" x14ac:dyDescent="0.25">
      <c r="A91" s="138"/>
    </row>
    <row r="92" spans="1:1" ht="15.75" customHeight="1" x14ac:dyDescent="0.25">
      <c r="A92" s="138"/>
    </row>
    <row r="93" spans="1:1" ht="15.75" customHeight="1" x14ac:dyDescent="0.25">
      <c r="A93" s="138"/>
    </row>
    <row r="94" spans="1:1" ht="15.75" customHeight="1" x14ac:dyDescent="0.25">
      <c r="A94" s="138"/>
    </row>
    <row r="95" spans="1:1" ht="15.75" customHeight="1" x14ac:dyDescent="0.25">
      <c r="A95" s="138"/>
    </row>
    <row r="96" spans="1:1" ht="15.75" customHeight="1" x14ac:dyDescent="0.25">
      <c r="A96" s="138"/>
    </row>
    <row r="97" spans="1:1" ht="15.75" customHeight="1" x14ac:dyDescent="0.25">
      <c r="A97" s="138"/>
    </row>
    <row r="98" spans="1:1" ht="15.75" customHeight="1" x14ac:dyDescent="0.25">
      <c r="A98" s="138"/>
    </row>
    <row r="99" spans="1:1" ht="15.75" customHeight="1" x14ac:dyDescent="0.25">
      <c r="A99" s="138"/>
    </row>
    <row r="100" spans="1:1" ht="15.75" customHeight="1" x14ac:dyDescent="0.25">
      <c r="A100" s="138"/>
    </row>
    <row r="101" spans="1:1" ht="15.75" customHeight="1" x14ac:dyDescent="0.25">
      <c r="A101" s="138"/>
    </row>
    <row r="102" spans="1:1" ht="15.75" customHeight="1" x14ac:dyDescent="0.25">
      <c r="A102" s="138"/>
    </row>
    <row r="103" spans="1:1" ht="15.75" customHeight="1" x14ac:dyDescent="0.25">
      <c r="A103" s="138"/>
    </row>
    <row r="104" spans="1:1" ht="15.75" customHeight="1" x14ac:dyDescent="0.25">
      <c r="A104" s="138"/>
    </row>
    <row r="105" spans="1:1" ht="15.75" customHeight="1" x14ac:dyDescent="0.25">
      <c r="A105" s="138"/>
    </row>
    <row r="106" spans="1:1" ht="15.75" customHeight="1" x14ac:dyDescent="0.25">
      <c r="A106" s="138"/>
    </row>
    <row r="107" spans="1:1" ht="15.75" customHeight="1" x14ac:dyDescent="0.25">
      <c r="A107" s="138"/>
    </row>
    <row r="108" spans="1:1" ht="15.75" customHeight="1" x14ac:dyDescent="0.25">
      <c r="A108" s="138"/>
    </row>
    <row r="109" spans="1:1" ht="15.75" customHeight="1" x14ac:dyDescent="0.25">
      <c r="A109" s="138"/>
    </row>
    <row r="110" spans="1:1" ht="15.75" customHeight="1" x14ac:dyDescent="0.25">
      <c r="A110" s="138"/>
    </row>
    <row r="111" spans="1:1" ht="15.75" customHeight="1" x14ac:dyDescent="0.25">
      <c r="A111" s="138"/>
    </row>
    <row r="112" spans="1:1" ht="15.75" customHeight="1" x14ac:dyDescent="0.25">
      <c r="A112" s="138"/>
    </row>
    <row r="113" spans="1:1" ht="15.75" customHeight="1" x14ac:dyDescent="0.25">
      <c r="A113" s="138"/>
    </row>
    <row r="114" spans="1:1" ht="15.75" customHeight="1" x14ac:dyDescent="0.25">
      <c r="A114" s="138"/>
    </row>
    <row r="115" spans="1:1" ht="15.75" customHeight="1" x14ac:dyDescent="0.25">
      <c r="A115" s="138"/>
    </row>
    <row r="116" spans="1:1" ht="15.75" customHeight="1" x14ac:dyDescent="0.25">
      <c r="A116" s="138"/>
    </row>
    <row r="117" spans="1:1" ht="15.75" customHeight="1" x14ac:dyDescent="0.25">
      <c r="A117" s="138"/>
    </row>
    <row r="118" spans="1:1" ht="15.75" customHeight="1" x14ac:dyDescent="0.25">
      <c r="A118" s="138"/>
    </row>
    <row r="119" spans="1:1" ht="15.75" customHeight="1" x14ac:dyDescent="0.25">
      <c r="A119" s="138"/>
    </row>
    <row r="120" spans="1:1" ht="15.75" customHeight="1" x14ac:dyDescent="0.25">
      <c r="A120" s="138"/>
    </row>
    <row r="121" spans="1:1" ht="15.75" customHeight="1" x14ac:dyDescent="0.25">
      <c r="A121" s="138"/>
    </row>
    <row r="122" spans="1:1" ht="15.75" customHeight="1" x14ac:dyDescent="0.25">
      <c r="A122" s="138"/>
    </row>
    <row r="123" spans="1:1" ht="15.75" customHeight="1" x14ac:dyDescent="0.25">
      <c r="A123" s="138"/>
    </row>
    <row r="124" spans="1:1" ht="15.75" customHeight="1" x14ac:dyDescent="0.25">
      <c r="A124" s="138"/>
    </row>
    <row r="125" spans="1:1" ht="15.75" customHeight="1" x14ac:dyDescent="0.25">
      <c r="A125" s="138"/>
    </row>
    <row r="126" spans="1:1" ht="15.75" customHeight="1" x14ac:dyDescent="0.25">
      <c r="A126" s="138"/>
    </row>
    <row r="127" spans="1:1" ht="15.75" customHeight="1" x14ac:dyDescent="0.25">
      <c r="A127" s="138"/>
    </row>
    <row r="128" spans="1:1" ht="15.75" customHeight="1" x14ac:dyDescent="0.25">
      <c r="A128" s="138"/>
    </row>
    <row r="129" spans="1:1" ht="15.75" customHeight="1" x14ac:dyDescent="0.25">
      <c r="A129" s="138"/>
    </row>
    <row r="130" spans="1:1" ht="15.75" customHeight="1" x14ac:dyDescent="0.25">
      <c r="A130" s="138"/>
    </row>
    <row r="131" spans="1:1" ht="15.75" customHeight="1" x14ac:dyDescent="0.25">
      <c r="A131" s="138"/>
    </row>
    <row r="132" spans="1:1" ht="15.75" customHeight="1" x14ac:dyDescent="0.25">
      <c r="A132" s="138"/>
    </row>
    <row r="133" spans="1:1" ht="15.75" customHeight="1" x14ac:dyDescent="0.25">
      <c r="A133" s="138"/>
    </row>
    <row r="134" spans="1:1" ht="15.75" customHeight="1" x14ac:dyDescent="0.25">
      <c r="A134" s="138"/>
    </row>
    <row r="135" spans="1:1" ht="15.75" customHeight="1" x14ac:dyDescent="0.25">
      <c r="A135" s="138"/>
    </row>
    <row r="136" spans="1:1" ht="15.75" customHeight="1" x14ac:dyDescent="0.25">
      <c r="A136" s="138"/>
    </row>
    <row r="137" spans="1:1" ht="15.75" customHeight="1" x14ac:dyDescent="0.25">
      <c r="A137" s="138"/>
    </row>
    <row r="138" spans="1:1" ht="15.75" customHeight="1" x14ac:dyDescent="0.25">
      <c r="A138" s="138"/>
    </row>
    <row r="139" spans="1:1" ht="15.75" customHeight="1" x14ac:dyDescent="0.25">
      <c r="A139" s="138"/>
    </row>
    <row r="140" spans="1:1" ht="15.75" customHeight="1" x14ac:dyDescent="0.25">
      <c r="A140" s="138"/>
    </row>
    <row r="141" spans="1:1" ht="15.75" customHeight="1" x14ac:dyDescent="0.25">
      <c r="A141" s="138"/>
    </row>
    <row r="142" spans="1:1" ht="15.75" customHeight="1" x14ac:dyDescent="0.25">
      <c r="A142" s="138"/>
    </row>
    <row r="143" spans="1:1" ht="15.75" customHeight="1" x14ac:dyDescent="0.25">
      <c r="A143" s="138"/>
    </row>
    <row r="144" spans="1:1" ht="15.75" customHeight="1" x14ac:dyDescent="0.25">
      <c r="A144" s="138"/>
    </row>
    <row r="145" spans="1:1" ht="15.75" customHeight="1" x14ac:dyDescent="0.25">
      <c r="A145" s="138"/>
    </row>
    <row r="146" spans="1:1" ht="15.75" customHeight="1" x14ac:dyDescent="0.25">
      <c r="A146" s="138"/>
    </row>
    <row r="147" spans="1:1" ht="15.75" customHeight="1" x14ac:dyDescent="0.25">
      <c r="A147" s="138"/>
    </row>
    <row r="148" spans="1:1" ht="15.75" customHeight="1" x14ac:dyDescent="0.25">
      <c r="A148" s="138"/>
    </row>
    <row r="149" spans="1:1" ht="15.75" customHeight="1" x14ac:dyDescent="0.25">
      <c r="A149" s="138"/>
    </row>
    <row r="150" spans="1:1" ht="15.75" customHeight="1" x14ac:dyDescent="0.25">
      <c r="A150" s="138"/>
    </row>
    <row r="151" spans="1:1" ht="15.75" customHeight="1" x14ac:dyDescent="0.25">
      <c r="A151" s="138"/>
    </row>
    <row r="152" spans="1:1" ht="15.75" customHeight="1" x14ac:dyDescent="0.25">
      <c r="A152" s="138"/>
    </row>
    <row r="153" spans="1:1" ht="15.75" customHeight="1" x14ac:dyDescent="0.25">
      <c r="A153" s="138"/>
    </row>
    <row r="154" spans="1:1" ht="15.75" customHeight="1" x14ac:dyDescent="0.25">
      <c r="A154" s="138"/>
    </row>
    <row r="155" spans="1:1" ht="15.75" customHeight="1" x14ac:dyDescent="0.25">
      <c r="A155" s="138"/>
    </row>
    <row r="156" spans="1:1" ht="15.75" customHeight="1" x14ac:dyDescent="0.25">
      <c r="A156" s="138"/>
    </row>
    <row r="157" spans="1:1" ht="15.75" customHeight="1" x14ac:dyDescent="0.25">
      <c r="A157" s="138"/>
    </row>
    <row r="158" spans="1:1" ht="15.75" customHeight="1" x14ac:dyDescent="0.25">
      <c r="A158" s="138"/>
    </row>
    <row r="159" spans="1:1" ht="15.75" customHeight="1" x14ac:dyDescent="0.25">
      <c r="A159" s="138"/>
    </row>
    <row r="160" spans="1:1" ht="15.75" customHeight="1" x14ac:dyDescent="0.25">
      <c r="A160" s="138"/>
    </row>
    <row r="161" spans="1:1" ht="15.75" customHeight="1" x14ac:dyDescent="0.25">
      <c r="A161" s="138"/>
    </row>
    <row r="162" spans="1:1" ht="15.75" customHeight="1" x14ac:dyDescent="0.25">
      <c r="A162" s="138"/>
    </row>
    <row r="163" spans="1:1" ht="15.75" customHeight="1" x14ac:dyDescent="0.25">
      <c r="A163" s="138"/>
    </row>
    <row r="164" spans="1:1" ht="15.75" customHeight="1" x14ac:dyDescent="0.25">
      <c r="A164" s="138"/>
    </row>
    <row r="165" spans="1:1" ht="15.75" customHeight="1" x14ac:dyDescent="0.25">
      <c r="A165" s="138"/>
    </row>
    <row r="166" spans="1:1" ht="15.75" customHeight="1" x14ac:dyDescent="0.25">
      <c r="A166" s="138"/>
    </row>
    <row r="167" spans="1:1" ht="15.75" customHeight="1" x14ac:dyDescent="0.25">
      <c r="A167" s="138"/>
    </row>
    <row r="168" spans="1:1" ht="15.75" customHeight="1" x14ac:dyDescent="0.25">
      <c r="A168" s="138"/>
    </row>
    <row r="169" spans="1:1" ht="15.75" customHeight="1" x14ac:dyDescent="0.25">
      <c r="A169" s="138"/>
    </row>
    <row r="170" spans="1:1" ht="15.75" customHeight="1" x14ac:dyDescent="0.25">
      <c r="A170" s="138"/>
    </row>
    <row r="171" spans="1:1" ht="15.75" customHeight="1" x14ac:dyDescent="0.25">
      <c r="A171" s="138"/>
    </row>
    <row r="172" spans="1:1" ht="15.75" customHeight="1" x14ac:dyDescent="0.25">
      <c r="A172" s="138"/>
    </row>
    <row r="173" spans="1:1" ht="15.75" customHeight="1" x14ac:dyDescent="0.25">
      <c r="A173" s="138"/>
    </row>
    <row r="174" spans="1:1" ht="15.75" customHeight="1" x14ac:dyDescent="0.25">
      <c r="A174" s="138"/>
    </row>
    <row r="175" spans="1:1" ht="15.75" customHeight="1" x14ac:dyDescent="0.25">
      <c r="A175" s="138"/>
    </row>
    <row r="176" spans="1:1" ht="15.75" customHeight="1" x14ac:dyDescent="0.25">
      <c r="A176" s="138"/>
    </row>
    <row r="177" spans="1:1" ht="15.75" customHeight="1" x14ac:dyDescent="0.25">
      <c r="A177" s="138"/>
    </row>
    <row r="178" spans="1:1" ht="15.75" customHeight="1" x14ac:dyDescent="0.25">
      <c r="A178" s="138"/>
    </row>
    <row r="179" spans="1:1" ht="15.75" customHeight="1" x14ac:dyDescent="0.25">
      <c r="A179" s="138"/>
    </row>
    <row r="180" spans="1:1" ht="15.75" customHeight="1" x14ac:dyDescent="0.25">
      <c r="A180" s="138"/>
    </row>
    <row r="181" spans="1:1" ht="15.75" customHeight="1" x14ac:dyDescent="0.25">
      <c r="A181" s="138"/>
    </row>
    <row r="182" spans="1:1" ht="15.75" customHeight="1" x14ac:dyDescent="0.25">
      <c r="A182" s="138"/>
    </row>
    <row r="183" spans="1:1" ht="15.75" customHeight="1" x14ac:dyDescent="0.25">
      <c r="A183" s="138"/>
    </row>
    <row r="184" spans="1:1" ht="15.75" customHeight="1" x14ac:dyDescent="0.25">
      <c r="A184" s="138"/>
    </row>
    <row r="185" spans="1:1" ht="15.75" customHeight="1" x14ac:dyDescent="0.25">
      <c r="A185" s="138"/>
    </row>
    <row r="186" spans="1:1" ht="15.75" customHeight="1" x14ac:dyDescent="0.25">
      <c r="A186" s="138"/>
    </row>
    <row r="187" spans="1:1" ht="15.75" customHeight="1" x14ac:dyDescent="0.25">
      <c r="A187" s="138"/>
    </row>
    <row r="188" spans="1:1" ht="15.75" customHeight="1" x14ac:dyDescent="0.25">
      <c r="A188" s="138"/>
    </row>
    <row r="189" spans="1:1" ht="15.75" customHeight="1" x14ac:dyDescent="0.25">
      <c r="A189" s="138"/>
    </row>
    <row r="190" spans="1:1" ht="15.75" customHeight="1" x14ac:dyDescent="0.25">
      <c r="A190" s="138"/>
    </row>
    <row r="191" spans="1:1" ht="15.75" customHeight="1" x14ac:dyDescent="0.25">
      <c r="A191" s="138"/>
    </row>
    <row r="192" spans="1:1" ht="15.75" customHeight="1" x14ac:dyDescent="0.25">
      <c r="A192" s="138"/>
    </row>
    <row r="193" spans="1:1" ht="15.75" customHeight="1" x14ac:dyDescent="0.25">
      <c r="A193" s="138"/>
    </row>
    <row r="194" spans="1:1" ht="15.75" customHeight="1" x14ac:dyDescent="0.25">
      <c r="A194" s="138"/>
    </row>
    <row r="195" spans="1:1" ht="15.75" customHeight="1" x14ac:dyDescent="0.25">
      <c r="A195" s="138"/>
    </row>
    <row r="196" spans="1:1" ht="15.75" customHeight="1" x14ac:dyDescent="0.25">
      <c r="A196" s="138"/>
    </row>
    <row r="197" spans="1:1" ht="15.75" customHeight="1" x14ac:dyDescent="0.25">
      <c r="A197" s="138"/>
    </row>
    <row r="198" spans="1:1" ht="15.75" customHeight="1" x14ac:dyDescent="0.25">
      <c r="A198" s="138"/>
    </row>
    <row r="199" spans="1:1" ht="15.75" customHeight="1" x14ac:dyDescent="0.25">
      <c r="A199" s="138"/>
    </row>
    <row r="200" spans="1:1" ht="15.75" customHeight="1" x14ac:dyDescent="0.25">
      <c r="A200" s="138"/>
    </row>
    <row r="201" spans="1:1" ht="15.75" customHeight="1" x14ac:dyDescent="0.25">
      <c r="A201" s="138"/>
    </row>
    <row r="202" spans="1:1" ht="15.75" customHeight="1" x14ac:dyDescent="0.25">
      <c r="A202" s="138"/>
    </row>
    <row r="203" spans="1:1" ht="15.75" customHeight="1" x14ac:dyDescent="0.25">
      <c r="A203" s="138"/>
    </row>
    <row r="204" spans="1:1" ht="15.75" customHeight="1" x14ac:dyDescent="0.25">
      <c r="A204" s="138"/>
    </row>
    <row r="205" spans="1:1" ht="15.75" customHeight="1" x14ac:dyDescent="0.25">
      <c r="A205" s="138"/>
    </row>
    <row r="206" spans="1:1" ht="15.75" customHeight="1" x14ac:dyDescent="0.25">
      <c r="A206" s="138"/>
    </row>
    <row r="207" spans="1:1" ht="15.75" customHeight="1" x14ac:dyDescent="0.25">
      <c r="A207" s="138"/>
    </row>
    <row r="208" spans="1:1" ht="15.75" customHeight="1" x14ac:dyDescent="0.25">
      <c r="A208" s="138"/>
    </row>
    <row r="209" spans="1:1" ht="15.75" customHeight="1" x14ac:dyDescent="0.25">
      <c r="A209" s="138"/>
    </row>
    <row r="210" spans="1:1" ht="15.75" customHeight="1" x14ac:dyDescent="0.25">
      <c r="A210" s="138"/>
    </row>
    <row r="211" spans="1:1" ht="15.75" customHeight="1" x14ac:dyDescent="0.25">
      <c r="A211" s="138"/>
    </row>
    <row r="212" spans="1:1" ht="15.75" customHeight="1" x14ac:dyDescent="0.25">
      <c r="A212" s="138"/>
    </row>
    <row r="213" spans="1:1" ht="15.75" customHeight="1" x14ac:dyDescent="0.25">
      <c r="A213" s="138"/>
    </row>
    <row r="214" spans="1:1" ht="15.75" customHeight="1" x14ac:dyDescent="0.25">
      <c r="A214" s="138"/>
    </row>
    <row r="215" spans="1:1" ht="15.75" customHeight="1" x14ac:dyDescent="0.25">
      <c r="A215" s="138"/>
    </row>
    <row r="216" spans="1:1" ht="15.75" customHeight="1" x14ac:dyDescent="0.25">
      <c r="A216" s="138"/>
    </row>
    <row r="217" spans="1:1" ht="15.75" customHeight="1" x14ac:dyDescent="0.25">
      <c r="A217" s="138"/>
    </row>
    <row r="218" spans="1:1" ht="15.75" customHeight="1" x14ac:dyDescent="0.25">
      <c r="A218" s="138"/>
    </row>
    <row r="219" spans="1:1" ht="15.75" customHeight="1" x14ac:dyDescent="0.25">
      <c r="A219" s="138"/>
    </row>
    <row r="220" spans="1:1" ht="15.75" customHeight="1" x14ac:dyDescent="0.25">
      <c r="A220" s="138"/>
    </row>
    <row r="221" spans="1:1" ht="15.75" customHeight="1" x14ac:dyDescent="0.25">
      <c r="A221" s="138"/>
    </row>
    <row r="222" spans="1:1" ht="15.75" customHeight="1" x14ac:dyDescent="0.25">
      <c r="A222" s="138"/>
    </row>
    <row r="223" spans="1:1" ht="15.75" customHeight="1" x14ac:dyDescent="0.25">
      <c r="A223" s="138"/>
    </row>
    <row r="224" spans="1:1" ht="15.75" customHeight="1" x14ac:dyDescent="0.25">
      <c r="A224" s="138"/>
    </row>
    <row r="225" spans="1:1" ht="15.75" customHeight="1" x14ac:dyDescent="0.25">
      <c r="A225" s="138"/>
    </row>
    <row r="226" spans="1:1" ht="15.75" customHeight="1" x14ac:dyDescent="0.25">
      <c r="A226" s="138"/>
    </row>
    <row r="227" spans="1:1" ht="15.75" customHeight="1" x14ac:dyDescent="0.25">
      <c r="A227" s="138"/>
    </row>
    <row r="228" spans="1:1" ht="15.75" customHeight="1" x14ac:dyDescent="0.25">
      <c r="A228" s="138"/>
    </row>
    <row r="229" spans="1:1" ht="15.75" customHeight="1" x14ac:dyDescent="0.25">
      <c r="A229" s="138"/>
    </row>
    <row r="230" spans="1:1" ht="15.75" customHeight="1" x14ac:dyDescent="0.25">
      <c r="A230" s="138"/>
    </row>
    <row r="231" spans="1:1" ht="15.75" customHeight="1" x14ac:dyDescent="0.25">
      <c r="A231" s="138"/>
    </row>
    <row r="232" spans="1:1" ht="15.75" customHeight="1" x14ac:dyDescent="0.25">
      <c r="A232" s="138"/>
    </row>
    <row r="233" spans="1:1" ht="15.75" customHeight="1" x14ac:dyDescent="0.25">
      <c r="A233" s="138"/>
    </row>
    <row r="234" spans="1:1" ht="15.75" customHeight="1" x14ac:dyDescent="0.25">
      <c r="A234" s="138"/>
    </row>
    <row r="235" spans="1:1" ht="15.75" customHeight="1" x14ac:dyDescent="0.25">
      <c r="A235" s="138"/>
    </row>
    <row r="236" spans="1:1" ht="15.75" customHeight="1" x14ac:dyDescent="0.25">
      <c r="A236" s="138"/>
    </row>
    <row r="237" spans="1:1" ht="15.75" customHeight="1" x14ac:dyDescent="0.25">
      <c r="A237" s="138"/>
    </row>
    <row r="238" spans="1:1" ht="15.75" customHeight="1" x14ac:dyDescent="0.25">
      <c r="A238" s="138"/>
    </row>
    <row r="239" spans="1:1" ht="15.75" customHeight="1" x14ac:dyDescent="0.25">
      <c r="A239" s="138"/>
    </row>
    <row r="240" spans="1:1" ht="15.75" customHeight="1" x14ac:dyDescent="0.25">
      <c r="A240" s="138"/>
    </row>
    <row r="241" spans="1:1" ht="15.75" customHeight="1" x14ac:dyDescent="0.25">
      <c r="A241" s="138"/>
    </row>
    <row r="242" spans="1:1" ht="15.75" customHeight="1" x14ac:dyDescent="0.25">
      <c r="A242" s="138"/>
    </row>
    <row r="243" spans="1:1" ht="15.75" customHeight="1" x14ac:dyDescent="0.25">
      <c r="A243" s="138"/>
    </row>
    <row r="244" spans="1:1" ht="15.75" customHeight="1" x14ac:dyDescent="0.25">
      <c r="A244" s="138"/>
    </row>
    <row r="245" spans="1:1" ht="15.75" customHeight="1" x14ac:dyDescent="0.25">
      <c r="A245" s="138"/>
    </row>
    <row r="246" spans="1:1" ht="15.75" customHeight="1" x14ac:dyDescent="0.25">
      <c r="A246" s="138"/>
    </row>
    <row r="247" spans="1:1" ht="15.75" customHeight="1" x14ac:dyDescent="0.25">
      <c r="A247" s="138"/>
    </row>
    <row r="248" spans="1:1" ht="15.75" customHeight="1" x14ac:dyDescent="0.25">
      <c r="A248" s="138"/>
    </row>
    <row r="249" spans="1:1" ht="15.75" customHeight="1" x14ac:dyDescent="0.25">
      <c r="A249" s="138"/>
    </row>
    <row r="250" spans="1:1" ht="15.75" customHeight="1" x14ac:dyDescent="0.25">
      <c r="A250" s="138"/>
    </row>
    <row r="251" spans="1:1" ht="15.75" customHeight="1" x14ac:dyDescent="0.25">
      <c r="A251" s="138"/>
    </row>
    <row r="252" spans="1:1" ht="15.75" customHeight="1" x14ac:dyDescent="0.25">
      <c r="A252" s="138"/>
    </row>
    <row r="253" spans="1:1" ht="15.75" customHeight="1" x14ac:dyDescent="0.25">
      <c r="A253" s="138"/>
    </row>
    <row r="254" spans="1:1" ht="15.75" customHeight="1" x14ac:dyDescent="0.25">
      <c r="A254" s="138"/>
    </row>
    <row r="255" spans="1:1" ht="15.75" customHeight="1" x14ac:dyDescent="0.25">
      <c r="A255" s="138"/>
    </row>
    <row r="256" spans="1:1" ht="15.75" customHeight="1" x14ac:dyDescent="0.25">
      <c r="A256" s="138"/>
    </row>
    <row r="257" spans="1:1" ht="15.75" customHeight="1" x14ac:dyDescent="0.25">
      <c r="A257" s="138"/>
    </row>
    <row r="258" spans="1:1" ht="15.75" customHeight="1" x14ac:dyDescent="0.25">
      <c r="A258" s="138"/>
    </row>
    <row r="259" spans="1:1" ht="15.75" customHeight="1" x14ac:dyDescent="0.25">
      <c r="A259" s="138"/>
    </row>
    <row r="260" spans="1:1" ht="15.75" customHeight="1" x14ac:dyDescent="0.25">
      <c r="A260" s="138"/>
    </row>
    <row r="261" spans="1:1" ht="15.75" customHeight="1" x14ac:dyDescent="0.25">
      <c r="A261" s="138"/>
    </row>
    <row r="262" spans="1:1" ht="15.75" customHeight="1" x14ac:dyDescent="0.25">
      <c r="A262" s="138"/>
    </row>
    <row r="263" spans="1:1" ht="15.75" customHeight="1" x14ac:dyDescent="0.25">
      <c r="A263" s="138"/>
    </row>
    <row r="264" spans="1:1" ht="15.75" customHeight="1" x14ac:dyDescent="0.25">
      <c r="A264" s="138"/>
    </row>
    <row r="265" spans="1:1" ht="15.75" customHeight="1" x14ac:dyDescent="0.25">
      <c r="A265" s="138"/>
    </row>
    <row r="266" spans="1:1" ht="15.75" customHeight="1" x14ac:dyDescent="0.25">
      <c r="A266" s="138"/>
    </row>
    <row r="267" spans="1:1" ht="15.75" customHeight="1" x14ac:dyDescent="0.25">
      <c r="A267" s="138"/>
    </row>
    <row r="268" spans="1:1" ht="15.75" customHeight="1" x14ac:dyDescent="0.25">
      <c r="A268" s="138"/>
    </row>
    <row r="269" spans="1:1" ht="15.75" customHeight="1" x14ac:dyDescent="0.25">
      <c r="A269" s="138"/>
    </row>
    <row r="270" spans="1:1" ht="15.75" customHeight="1" x14ac:dyDescent="0.25">
      <c r="A270" s="138"/>
    </row>
    <row r="271" spans="1:1" ht="15.75" customHeight="1" x14ac:dyDescent="0.25">
      <c r="A271" s="138"/>
    </row>
    <row r="272" spans="1:1" ht="15.75" customHeight="1" x14ac:dyDescent="0.25">
      <c r="A272" s="138"/>
    </row>
    <row r="273" spans="1:1" ht="15.75" customHeight="1" x14ac:dyDescent="0.25">
      <c r="A273" s="138"/>
    </row>
    <row r="274" spans="1:1" ht="15.75" customHeight="1" x14ac:dyDescent="0.25">
      <c r="A274" s="138"/>
    </row>
    <row r="275" spans="1:1" ht="15.75" customHeight="1" x14ac:dyDescent="0.25">
      <c r="A275" s="138"/>
    </row>
    <row r="276" spans="1:1" ht="15.75" customHeight="1" x14ac:dyDescent="0.25">
      <c r="A276" s="138"/>
    </row>
    <row r="277" spans="1:1" ht="15.75" customHeight="1" x14ac:dyDescent="0.25">
      <c r="A277" s="138"/>
    </row>
    <row r="278" spans="1:1" ht="15.75" customHeight="1" x14ac:dyDescent="0.25">
      <c r="A278" s="138"/>
    </row>
    <row r="279" spans="1:1" ht="15.75" customHeight="1" x14ac:dyDescent="0.25">
      <c r="A279" s="138"/>
    </row>
    <row r="280" spans="1:1" ht="15.75" customHeight="1" x14ac:dyDescent="0.25">
      <c r="A280" s="138"/>
    </row>
    <row r="281" spans="1:1" ht="15.75" customHeight="1" x14ac:dyDescent="0.25">
      <c r="A281" s="138"/>
    </row>
    <row r="282" spans="1:1" ht="15.75" customHeight="1" x14ac:dyDescent="0.25">
      <c r="A282" s="138"/>
    </row>
    <row r="283" spans="1:1" ht="15.75" customHeight="1" x14ac:dyDescent="0.25">
      <c r="A283" s="138"/>
    </row>
    <row r="284" spans="1:1" ht="15.75" customHeight="1" x14ac:dyDescent="0.25">
      <c r="A284" s="138"/>
    </row>
    <row r="285" spans="1:1" ht="15.75" customHeight="1" x14ac:dyDescent="0.25">
      <c r="A285" s="138"/>
    </row>
    <row r="286" spans="1:1" ht="15.75" customHeight="1" x14ac:dyDescent="0.25">
      <c r="A286" s="138"/>
    </row>
    <row r="287" spans="1:1" ht="15.75" customHeight="1" x14ac:dyDescent="0.25">
      <c r="A287" s="138"/>
    </row>
    <row r="288" spans="1:1" ht="15.75" customHeight="1" x14ac:dyDescent="0.25">
      <c r="A288" s="138"/>
    </row>
    <row r="289" spans="1:1" ht="15.75" customHeight="1" x14ac:dyDescent="0.25">
      <c r="A289" s="138"/>
    </row>
    <row r="290" spans="1:1" ht="15.75" customHeight="1" x14ac:dyDescent="0.25">
      <c r="A290" s="138"/>
    </row>
    <row r="291" spans="1:1" ht="15.75" customHeight="1" x14ac:dyDescent="0.25">
      <c r="A291" s="138"/>
    </row>
    <row r="292" spans="1:1" ht="15.75" customHeight="1" x14ac:dyDescent="0.25">
      <c r="A292" s="138"/>
    </row>
    <row r="293" spans="1:1" ht="15.75" customHeight="1" x14ac:dyDescent="0.25">
      <c r="A293" s="138"/>
    </row>
    <row r="294" spans="1:1" ht="15.75" customHeight="1" x14ac:dyDescent="0.25">
      <c r="A294" s="138"/>
    </row>
    <row r="295" spans="1:1" ht="15.75" customHeight="1" x14ac:dyDescent="0.25">
      <c r="A295" s="138"/>
    </row>
    <row r="296" spans="1:1" ht="15.75" customHeight="1" x14ac:dyDescent="0.25">
      <c r="A296" s="138"/>
    </row>
    <row r="297" spans="1:1" ht="15.75" customHeight="1" x14ac:dyDescent="0.25">
      <c r="A297" s="138"/>
    </row>
    <row r="298" spans="1:1" ht="15.75" customHeight="1" x14ac:dyDescent="0.25">
      <c r="A298" s="138"/>
    </row>
    <row r="299" spans="1:1" ht="15.75" customHeight="1" x14ac:dyDescent="0.25">
      <c r="A299" s="138"/>
    </row>
    <row r="300" spans="1:1" ht="15.75" customHeight="1" x14ac:dyDescent="0.25">
      <c r="A300" s="138"/>
    </row>
    <row r="301" spans="1:1" ht="15.75" customHeight="1" x14ac:dyDescent="0.25">
      <c r="A301" s="138"/>
    </row>
    <row r="302" spans="1:1" ht="15.75" customHeight="1" x14ac:dyDescent="0.25">
      <c r="A302" s="138"/>
    </row>
    <row r="303" spans="1:1" ht="15.75" customHeight="1" x14ac:dyDescent="0.25">
      <c r="A303" s="138"/>
    </row>
    <row r="304" spans="1:1" ht="15.75" customHeight="1" x14ac:dyDescent="0.25">
      <c r="A304" s="138"/>
    </row>
    <row r="305" spans="1:1" ht="15.75" customHeight="1" x14ac:dyDescent="0.25">
      <c r="A305" s="138"/>
    </row>
    <row r="306" spans="1:1" ht="15.75" customHeight="1" x14ac:dyDescent="0.25">
      <c r="A306" s="138"/>
    </row>
    <row r="307" spans="1:1" ht="15.75" customHeight="1" x14ac:dyDescent="0.25">
      <c r="A307" s="138"/>
    </row>
    <row r="308" spans="1:1" ht="15.75" customHeight="1" x14ac:dyDescent="0.25">
      <c r="A308" s="138"/>
    </row>
    <row r="309" spans="1:1" ht="15.75" customHeight="1" x14ac:dyDescent="0.25">
      <c r="A309" s="138"/>
    </row>
    <row r="310" spans="1:1" ht="15.75" customHeight="1" x14ac:dyDescent="0.25">
      <c r="A310" s="138"/>
    </row>
    <row r="311" spans="1:1" ht="15.75" customHeight="1" x14ac:dyDescent="0.25">
      <c r="A311" s="138"/>
    </row>
    <row r="312" spans="1:1" ht="15.75" customHeight="1" x14ac:dyDescent="0.25">
      <c r="A312" s="138"/>
    </row>
    <row r="313" spans="1:1" ht="15.75" customHeight="1" x14ac:dyDescent="0.25">
      <c r="A313" s="138"/>
    </row>
    <row r="314" spans="1:1" ht="15.75" customHeight="1" x14ac:dyDescent="0.25">
      <c r="A314" s="138"/>
    </row>
    <row r="315" spans="1:1" ht="15.75" customHeight="1" x14ac:dyDescent="0.25">
      <c r="A315" s="138"/>
    </row>
    <row r="316" spans="1:1" ht="15.75" customHeight="1" x14ac:dyDescent="0.25">
      <c r="A316" s="138"/>
    </row>
    <row r="317" spans="1:1" ht="15.75" customHeight="1" x14ac:dyDescent="0.25">
      <c r="A317" s="138"/>
    </row>
    <row r="318" spans="1:1" ht="15.75" customHeight="1" x14ac:dyDescent="0.25">
      <c r="A318" s="138"/>
    </row>
    <row r="319" spans="1:1" ht="15.75" customHeight="1" x14ac:dyDescent="0.25">
      <c r="A319" s="138"/>
    </row>
    <row r="320" spans="1:1" ht="15.75" customHeight="1" x14ac:dyDescent="0.25">
      <c r="A320" s="138"/>
    </row>
    <row r="321" spans="1:1" ht="15.75" customHeight="1" x14ac:dyDescent="0.25">
      <c r="A321" s="138"/>
    </row>
    <row r="322" spans="1:1" ht="15.75" customHeight="1" x14ac:dyDescent="0.25">
      <c r="A322" s="138"/>
    </row>
    <row r="323" spans="1:1" ht="15.75" customHeight="1" x14ac:dyDescent="0.25">
      <c r="A323" s="138"/>
    </row>
    <row r="324" spans="1:1" ht="15.75" customHeight="1" x14ac:dyDescent="0.25">
      <c r="A324" s="138"/>
    </row>
    <row r="325" spans="1:1" ht="15.75" customHeight="1" x14ac:dyDescent="0.25">
      <c r="A325" s="138"/>
    </row>
    <row r="326" spans="1:1" ht="15.75" customHeight="1" x14ac:dyDescent="0.25">
      <c r="A326" s="138"/>
    </row>
    <row r="327" spans="1:1" ht="15.75" customHeight="1" x14ac:dyDescent="0.25">
      <c r="A327" s="138"/>
    </row>
    <row r="328" spans="1:1" ht="15.75" customHeight="1" x14ac:dyDescent="0.25">
      <c r="A328" s="138"/>
    </row>
    <row r="329" spans="1:1" ht="15.75" customHeight="1" x14ac:dyDescent="0.25">
      <c r="A329" s="138"/>
    </row>
    <row r="330" spans="1:1" ht="15.75" customHeight="1" x14ac:dyDescent="0.25">
      <c r="A330" s="138"/>
    </row>
    <row r="331" spans="1:1" ht="15.75" customHeight="1" x14ac:dyDescent="0.25">
      <c r="A331" s="138"/>
    </row>
    <row r="332" spans="1:1" ht="15.75" customHeight="1" x14ac:dyDescent="0.25">
      <c r="A332" s="138"/>
    </row>
    <row r="333" spans="1:1" ht="15.75" customHeight="1" x14ac:dyDescent="0.25">
      <c r="A333" s="138"/>
    </row>
    <row r="334" spans="1:1" ht="15.75" customHeight="1" x14ac:dyDescent="0.25">
      <c r="A334" s="138"/>
    </row>
    <row r="335" spans="1:1" ht="15.75" customHeight="1" x14ac:dyDescent="0.25">
      <c r="A335" s="138"/>
    </row>
    <row r="336" spans="1:1" ht="15.75" customHeight="1" x14ac:dyDescent="0.25">
      <c r="A336" s="138"/>
    </row>
    <row r="337" spans="1:1" ht="15.75" customHeight="1" x14ac:dyDescent="0.25">
      <c r="A337" s="138"/>
    </row>
    <row r="338" spans="1:1" ht="15.75" customHeight="1" x14ac:dyDescent="0.25">
      <c r="A338" s="138"/>
    </row>
    <row r="339" spans="1:1" ht="15.75" customHeight="1" x14ac:dyDescent="0.25">
      <c r="A339" s="138"/>
    </row>
    <row r="340" spans="1:1" ht="15.75" customHeight="1" x14ac:dyDescent="0.25">
      <c r="A340" s="138"/>
    </row>
    <row r="341" spans="1:1" ht="15.75" customHeight="1" x14ac:dyDescent="0.25">
      <c r="A341" s="138"/>
    </row>
    <row r="342" spans="1:1" ht="15.75" customHeight="1" x14ac:dyDescent="0.25">
      <c r="A342" s="138"/>
    </row>
    <row r="343" spans="1:1" ht="15.75" customHeight="1" x14ac:dyDescent="0.25">
      <c r="A343" s="138"/>
    </row>
    <row r="344" spans="1:1" ht="15.75" customHeight="1" x14ac:dyDescent="0.25">
      <c r="A344" s="138"/>
    </row>
    <row r="345" spans="1:1" ht="15.75" customHeight="1" x14ac:dyDescent="0.25">
      <c r="A345" s="138"/>
    </row>
    <row r="346" spans="1:1" ht="15.75" customHeight="1" x14ac:dyDescent="0.25">
      <c r="A346" s="138"/>
    </row>
    <row r="347" spans="1:1" ht="15.75" customHeight="1" x14ac:dyDescent="0.25">
      <c r="A347" s="138"/>
    </row>
    <row r="348" spans="1:1" ht="15.75" customHeight="1" x14ac:dyDescent="0.25">
      <c r="A348" s="138"/>
    </row>
    <row r="349" spans="1:1" ht="15.75" customHeight="1" x14ac:dyDescent="0.25">
      <c r="A349" s="138"/>
    </row>
    <row r="350" spans="1:1" ht="15.75" customHeight="1" x14ac:dyDescent="0.25">
      <c r="A350" s="138"/>
    </row>
    <row r="351" spans="1:1" ht="15.75" customHeight="1" x14ac:dyDescent="0.25">
      <c r="A351" s="138"/>
    </row>
    <row r="352" spans="1:1" ht="15.75" customHeight="1" x14ac:dyDescent="0.25">
      <c r="A352" s="138"/>
    </row>
    <row r="353" spans="1:1" ht="15.75" customHeight="1" x14ac:dyDescent="0.25">
      <c r="A353" s="138"/>
    </row>
    <row r="354" spans="1:1" ht="15.75" customHeight="1" x14ac:dyDescent="0.25">
      <c r="A354" s="138"/>
    </row>
    <row r="355" spans="1:1" ht="15.75" customHeight="1" x14ac:dyDescent="0.25">
      <c r="A355" s="138"/>
    </row>
    <row r="356" spans="1:1" ht="15.75" customHeight="1" x14ac:dyDescent="0.25">
      <c r="A356" s="138"/>
    </row>
    <row r="357" spans="1:1" ht="15.75" customHeight="1" x14ac:dyDescent="0.25">
      <c r="A357" s="138"/>
    </row>
    <row r="358" spans="1:1" ht="15.75" customHeight="1" x14ac:dyDescent="0.25">
      <c r="A358" s="138"/>
    </row>
    <row r="359" spans="1:1" ht="15.75" customHeight="1" x14ac:dyDescent="0.25">
      <c r="A359" s="138"/>
    </row>
    <row r="360" spans="1:1" ht="15.75" customHeight="1" x14ac:dyDescent="0.25">
      <c r="A360" s="138"/>
    </row>
    <row r="361" spans="1:1" ht="15.75" customHeight="1" x14ac:dyDescent="0.25">
      <c r="A361" s="138"/>
    </row>
    <row r="362" spans="1:1" ht="15.75" customHeight="1" x14ac:dyDescent="0.25">
      <c r="A362" s="138"/>
    </row>
    <row r="363" spans="1:1" ht="15.75" customHeight="1" x14ac:dyDescent="0.25">
      <c r="A363" s="138"/>
    </row>
    <row r="364" spans="1:1" ht="15.75" customHeight="1" x14ac:dyDescent="0.25">
      <c r="A364" s="138"/>
    </row>
    <row r="365" spans="1:1" ht="15.75" customHeight="1" x14ac:dyDescent="0.25">
      <c r="A365" s="138"/>
    </row>
    <row r="366" spans="1:1" ht="15.75" customHeight="1" x14ac:dyDescent="0.25">
      <c r="A366" s="138"/>
    </row>
    <row r="367" spans="1:1" ht="15.75" customHeight="1" x14ac:dyDescent="0.25">
      <c r="A367" s="138"/>
    </row>
    <row r="368" spans="1:1" ht="15.75" customHeight="1" x14ac:dyDescent="0.25">
      <c r="A368" s="138"/>
    </row>
    <row r="369" spans="1:1" ht="15.75" customHeight="1" x14ac:dyDescent="0.25">
      <c r="A369" s="138"/>
    </row>
    <row r="370" spans="1:1" ht="15.75" customHeight="1" x14ac:dyDescent="0.25">
      <c r="A370" s="138"/>
    </row>
    <row r="371" spans="1:1" ht="15.75" customHeight="1" x14ac:dyDescent="0.25">
      <c r="A371" s="138"/>
    </row>
    <row r="372" spans="1:1" ht="15.75" customHeight="1" x14ac:dyDescent="0.25">
      <c r="A372" s="138"/>
    </row>
    <row r="373" spans="1:1" ht="15.75" customHeight="1" x14ac:dyDescent="0.25">
      <c r="A373" s="138"/>
    </row>
    <row r="374" spans="1:1" ht="15.75" customHeight="1" x14ac:dyDescent="0.25">
      <c r="A374" s="138"/>
    </row>
    <row r="375" spans="1:1" ht="15.75" customHeight="1" x14ac:dyDescent="0.25">
      <c r="A375" s="138"/>
    </row>
    <row r="376" spans="1:1" ht="15.75" customHeight="1" x14ac:dyDescent="0.25">
      <c r="A376" s="138"/>
    </row>
    <row r="377" spans="1:1" ht="15.75" customHeight="1" x14ac:dyDescent="0.25">
      <c r="A377" s="138"/>
    </row>
    <row r="378" spans="1:1" ht="15.75" customHeight="1" x14ac:dyDescent="0.25">
      <c r="A378" s="138"/>
    </row>
    <row r="379" spans="1:1" ht="15.75" customHeight="1" x14ac:dyDescent="0.25">
      <c r="A379" s="138"/>
    </row>
    <row r="380" spans="1:1" ht="15.75" customHeight="1" x14ac:dyDescent="0.25">
      <c r="A380" s="138"/>
    </row>
    <row r="381" spans="1:1" ht="15.75" customHeight="1" x14ac:dyDescent="0.25">
      <c r="A381" s="138"/>
    </row>
    <row r="382" spans="1:1" ht="15.75" customHeight="1" x14ac:dyDescent="0.25">
      <c r="A382" s="138"/>
    </row>
    <row r="383" spans="1:1" ht="15.75" customHeight="1" x14ac:dyDescent="0.25">
      <c r="A383" s="138"/>
    </row>
    <row r="384" spans="1:1" ht="15.75" customHeight="1" x14ac:dyDescent="0.25">
      <c r="A384" s="138"/>
    </row>
    <row r="385" spans="1:1" ht="15.75" customHeight="1" x14ac:dyDescent="0.25">
      <c r="A385" s="138"/>
    </row>
    <row r="386" spans="1:1" ht="15.75" customHeight="1" x14ac:dyDescent="0.25">
      <c r="A386" s="138"/>
    </row>
    <row r="387" spans="1:1" ht="15.75" customHeight="1" x14ac:dyDescent="0.25">
      <c r="A387" s="138"/>
    </row>
    <row r="388" spans="1:1" ht="15.75" customHeight="1" x14ac:dyDescent="0.25">
      <c r="A388" s="138"/>
    </row>
    <row r="389" spans="1:1" ht="15.75" customHeight="1" x14ac:dyDescent="0.25">
      <c r="A389" s="138"/>
    </row>
    <row r="390" spans="1:1" ht="15.75" customHeight="1" x14ac:dyDescent="0.25">
      <c r="A390" s="138"/>
    </row>
    <row r="391" spans="1:1" ht="15.75" customHeight="1" x14ac:dyDescent="0.25">
      <c r="A391" s="138"/>
    </row>
    <row r="392" spans="1:1" ht="15.75" customHeight="1" x14ac:dyDescent="0.25">
      <c r="A392" s="138"/>
    </row>
    <row r="393" spans="1:1" ht="15.75" customHeight="1" x14ac:dyDescent="0.25">
      <c r="A393" s="138"/>
    </row>
    <row r="394" spans="1:1" ht="15.75" customHeight="1" x14ac:dyDescent="0.25">
      <c r="A394" s="138"/>
    </row>
    <row r="395" spans="1:1" ht="15.75" customHeight="1" x14ac:dyDescent="0.25">
      <c r="A395" s="138"/>
    </row>
    <row r="396" spans="1:1" ht="15.75" customHeight="1" x14ac:dyDescent="0.25">
      <c r="A396" s="138"/>
    </row>
    <row r="397" spans="1:1" ht="15.75" customHeight="1" x14ac:dyDescent="0.25">
      <c r="A397" s="138"/>
    </row>
    <row r="398" spans="1:1" ht="15.75" customHeight="1" x14ac:dyDescent="0.25">
      <c r="A398" s="138"/>
    </row>
    <row r="399" spans="1:1" ht="15.75" customHeight="1" x14ac:dyDescent="0.25">
      <c r="A399" s="138"/>
    </row>
    <row r="400" spans="1:1" ht="15.75" customHeight="1" x14ac:dyDescent="0.25">
      <c r="A400" s="138"/>
    </row>
    <row r="401" spans="1:1" ht="15.75" customHeight="1" x14ac:dyDescent="0.25">
      <c r="A401" s="138"/>
    </row>
    <row r="402" spans="1:1" ht="15.75" customHeight="1" x14ac:dyDescent="0.25">
      <c r="A402" s="138"/>
    </row>
    <row r="403" spans="1:1" ht="15.75" customHeight="1" x14ac:dyDescent="0.25">
      <c r="A403" s="138"/>
    </row>
    <row r="404" spans="1:1" ht="15.75" customHeight="1" x14ac:dyDescent="0.25">
      <c r="A404" s="138"/>
    </row>
    <row r="405" spans="1:1" ht="15.75" customHeight="1" x14ac:dyDescent="0.25">
      <c r="A405" s="138"/>
    </row>
    <row r="406" spans="1:1" ht="15.75" customHeight="1" x14ac:dyDescent="0.25">
      <c r="A406" s="138"/>
    </row>
    <row r="407" spans="1:1" ht="15.75" customHeight="1" x14ac:dyDescent="0.25">
      <c r="A407" s="138"/>
    </row>
    <row r="408" spans="1:1" ht="15.75" customHeight="1" x14ac:dyDescent="0.25">
      <c r="A408" s="138"/>
    </row>
    <row r="409" spans="1:1" ht="15.75" customHeight="1" x14ac:dyDescent="0.25">
      <c r="A409" s="138"/>
    </row>
    <row r="410" spans="1:1" ht="15.75" customHeight="1" x14ac:dyDescent="0.25">
      <c r="A410" s="138"/>
    </row>
    <row r="411" spans="1:1" ht="15.75" customHeight="1" x14ac:dyDescent="0.25">
      <c r="A411" s="138"/>
    </row>
    <row r="412" spans="1:1" ht="15.75" customHeight="1" x14ac:dyDescent="0.25">
      <c r="A412" s="138"/>
    </row>
    <row r="413" spans="1:1" ht="15.75" customHeight="1" x14ac:dyDescent="0.25">
      <c r="A413" s="138"/>
    </row>
    <row r="414" spans="1:1" ht="15.75" customHeight="1" x14ac:dyDescent="0.25">
      <c r="A414" s="138"/>
    </row>
    <row r="415" spans="1:1" ht="15.75" customHeight="1" x14ac:dyDescent="0.25">
      <c r="A415" s="138"/>
    </row>
    <row r="416" spans="1:1" ht="15.75" customHeight="1" x14ac:dyDescent="0.25">
      <c r="A416" s="138"/>
    </row>
    <row r="417" spans="1:1" ht="15.75" customHeight="1" x14ac:dyDescent="0.25">
      <c r="A417" s="138"/>
    </row>
    <row r="418" spans="1:1" ht="15.75" customHeight="1" x14ac:dyDescent="0.25">
      <c r="A418" s="138"/>
    </row>
    <row r="419" spans="1:1" ht="15.75" customHeight="1" x14ac:dyDescent="0.25">
      <c r="A419" s="138"/>
    </row>
    <row r="420" spans="1:1" ht="15.75" customHeight="1" x14ac:dyDescent="0.25">
      <c r="A420" s="138"/>
    </row>
    <row r="421" spans="1:1" ht="15.75" customHeight="1" x14ac:dyDescent="0.25">
      <c r="A421" s="138"/>
    </row>
    <row r="422" spans="1:1" ht="15.75" customHeight="1" x14ac:dyDescent="0.25">
      <c r="A422" s="138"/>
    </row>
    <row r="423" spans="1:1" ht="15.75" customHeight="1" x14ac:dyDescent="0.25">
      <c r="A423" s="138"/>
    </row>
    <row r="424" spans="1:1" ht="15.75" customHeight="1" x14ac:dyDescent="0.25">
      <c r="A424" s="138"/>
    </row>
    <row r="425" spans="1:1" ht="15.75" customHeight="1" x14ac:dyDescent="0.25">
      <c r="A425" s="138"/>
    </row>
    <row r="426" spans="1:1" ht="15.75" customHeight="1" x14ac:dyDescent="0.25">
      <c r="A426" s="138"/>
    </row>
    <row r="427" spans="1:1" ht="15.75" customHeight="1" x14ac:dyDescent="0.25">
      <c r="A427" s="138"/>
    </row>
    <row r="428" spans="1:1" ht="15.75" customHeight="1" x14ac:dyDescent="0.25">
      <c r="A428" s="138"/>
    </row>
    <row r="429" spans="1:1" ht="15.75" customHeight="1" x14ac:dyDescent="0.25">
      <c r="A429" s="138"/>
    </row>
    <row r="430" spans="1:1" ht="15.75" customHeight="1" x14ac:dyDescent="0.25">
      <c r="A430" s="138"/>
    </row>
    <row r="431" spans="1:1" ht="15.75" customHeight="1" x14ac:dyDescent="0.25">
      <c r="A431" s="138"/>
    </row>
    <row r="432" spans="1:1" ht="15.75" customHeight="1" x14ac:dyDescent="0.25">
      <c r="A432" s="138"/>
    </row>
    <row r="433" spans="1:1" ht="15.75" customHeight="1" x14ac:dyDescent="0.25">
      <c r="A433" s="138"/>
    </row>
    <row r="434" spans="1:1" ht="15.75" customHeight="1" x14ac:dyDescent="0.25">
      <c r="A434" s="138"/>
    </row>
    <row r="435" spans="1:1" ht="15.75" customHeight="1" x14ac:dyDescent="0.25">
      <c r="A435" s="138"/>
    </row>
    <row r="436" spans="1:1" ht="15.75" customHeight="1" x14ac:dyDescent="0.25">
      <c r="A436" s="138"/>
    </row>
    <row r="437" spans="1:1" ht="15.75" customHeight="1" x14ac:dyDescent="0.25">
      <c r="A437" s="138"/>
    </row>
    <row r="438" spans="1:1" ht="15.75" customHeight="1" x14ac:dyDescent="0.25">
      <c r="A438" s="138"/>
    </row>
    <row r="439" spans="1:1" ht="15.75" customHeight="1" x14ac:dyDescent="0.25">
      <c r="A439" s="138"/>
    </row>
    <row r="440" spans="1:1" ht="15.75" customHeight="1" x14ac:dyDescent="0.25">
      <c r="A440" s="138"/>
    </row>
    <row r="441" spans="1:1" ht="15.75" customHeight="1" x14ac:dyDescent="0.25">
      <c r="A441" s="138"/>
    </row>
    <row r="442" spans="1:1" ht="15.75" customHeight="1" x14ac:dyDescent="0.25">
      <c r="A442" s="138"/>
    </row>
    <row r="443" spans="1:1" ht="15.75" customHeight="1" x14ac:dyDescent="0.25">
      <c r="A443" s="138"/>
    </row>
    <row r="444" spans="1:1" ht="15.75" customHeight="1" x14ac:dyDescent="0.25">
      <c r="A444" s="138"/>
    </row>
    <row r="445" spans="1:1" ht="15.75" customHeight="1" x14ac:dyDescent="0.25">
      <c r="A445" s="138"/>
    </row>
    <row r="446" spans="1:1" ht="15.75" customHeight="1" x14ac:dyDescent="0.25">
      <c r="A446" s="138"/>
    </row>
    <row r="447" spans="1:1" ht="15.75" customHeight="1" x14ac:dyDescent="0.25">
      <c r="A447" s="138"/>
    </row>
    <row r="448" spans="1:1" ht="15.75" customHeight="1" x14ac:dyDescent="0.25">
      <c r="A448" s="138"/>
    </row>
    <row r="449" spans="1:1" ht="15.75" customHeight="1" x14ac:dyDescent="0.25">
      <c r="A449" s="138"/>
    </row>
    <row r="450" spans="1:1" ht="15.75" customHeight="1" x14ac:dyDescent="0.25">
      <c r="A450" s="138"/>
    </row>
    <row r="451" spans="1:1" ht="15.75" customHeight="1" x14ac:dyDescent="0.25">
      <c r="A451" s="138"/>
    </row>
    <row r="452" spans="1:1" ht="15.75" customHeight="1" x14ac:dyDescent="0.25">
      <c r="A452" s="138"/>
    </row>
    <row r="453" spans="1:1" ht="15.75" customHeight="1" x14ac:dyDescent="0.25">
      <c r="A453" s="138"/>
    </row>
    <row r="454" spans="1:1" ht="15.75" customHeight="1" x14ac:dyDescent="0.25">
      <c r="A454" s="138"/>
    </row>
    <row r="455" spans="1:1" ht="15.75" customHeight="1" x14ac:dyDescent="0.25">
      <c r="A455" s="138"/>
    </row>
    <row r="456" spans="1:1" ht="15.75" customHeight="1" x14ac:dyDescent="0.25">
      <c r="A456" s="138"/>
    </row>
    <row r="457" spans="1:1" ht="15.75" customHeight="1" x14ac:dyDescent="0.25">
      <c r="A457" s="138"/>
    </row>
    <row r="458" spans="1:1" ht="15.75" customHeight="1" x14ac:dyDescent="0.25">
      <c r="A458" s="138"/>
    </row>
    <row r="459" spans="1:1" ht="15.75" customHeight="1" x14ac:dyDescent="0.25">
      <c r="A459" s="138"/>
    </row>
    <row r="460" spans="1:1" ht="15.75" customHeight="1" x14ac:dyDescent="0.25">
      <c r="A460" s="138"/>
    </row>
    <row r="461" spans="1:1" ht="15.75" customHeight="1" x14ac:dyDescent="0.25">
      <c r="A461" s="138"/>
    </row>
    <row r="462" spans="1:1" ht="15.75" customHeight="1" x14ac:dyDescent="0.25">
      <c r="A462" s="138"/>
    </row>
    <row r="463" spans="1:1" ht="15.75" customHeight="1" x14ac:dyDescent="0.25">
      <c r="A463" s="138"/>
    </row>
    <row r="464" spans="1:1" ht="15.75" customHeight="1" x14ac:dyDescent="0.25">
      <c r="A464" s="138"/>
    </row>
    <row r="465" spans="1:1" ht="15.75" customHeight="1" x14ac:dyDescent="0.25">
      <c r="A465" s="138"/>
    </row>
    <row r="466" spans="1:1" ht="15.75" customHeight="1" x14ac:dyDescent="0.25">
      <c r="A466" s="138"/>
    </row>
    <row r="467" spans="1:1" ht="15.75" customHeight="1" x14ac:dyDescent="0.25">
      <c r="A467" s="138"/>
    </row>
    <row r="468" spans="1:1" ht="15.75" customHeight="1" x14ac:dyDescent="0.25">
      <c r="A468" s="138"/>
    </row>
    <row r="469" spans="1:1" ht="15.75" customHeight="1" x14ac:dyDescent="0.25">
      <c r="A469" s="138"/>
    </row>
    <row r="470" spans="1:1" ht="15.75" customHeight="1" x14ac:dyDescent="0.25">
      <c r="A470" s="138"/>
    </row>
    <row r="471" spans="1:1" ht="15.75" customHeight="1" x14ac:dyDescent="0.25">
      <c r="A471" s="138"/>
    </row>
    <row r="472" spans="1:1" ht="15.75" customHeight="1" x14ac:dyDescent="0.25">
      <c r="A472" s="138"/>
    </row>
    <row r="473" spans="1:1" ht="15.75" customHeight="1" x14ac:dyDescent="0.25">
      <c r="A473" s="138"/>
    </row>
    <row r="474" spans="1:1" ht="15.75" customHeight="1" x14ac:dyDescent="0.25">
      <c r="A474" s="138"/>
    </row>
    <row r="475" spans="1:1" ht="15.75" customHeight="1" x14ac:dyDescent="0.25">
      <c r="A475" s="138"/>
    </row>
    <row r="476" spans="1:1" ht="15.75" customHeight="1" x14ac:dyDescent="0.25">
      <c r="A476" s="138"/>
    </row>
    <row r="477" spans="1:1" ht="15.75" customHeight="1" x14ac:dyDescent="0.25">
      <c r="A477" s="138"/>
    </row>
    <row r="478" spans="1:1" ht="15.75" customHeight="1" x14ac:dyDescent="0.25">
      <c r="A478" s="138"/>
    </row>
    <row r="479" spans="1:1" ht="15.75" customHeight="1" x14ac:dyDescent="0.25">
      <c r="A479" s="138"/>
    </row>
    <row r="480" spans="1:1" ht="15.75" customHeight="1" x14ac:dyDescent="0.25">
      <c r="A480" s="138"/>
    </row>
    <row r="481" spans="1:1" ht="15.75" customHeight="1" x14ac:dyDescent="0.25">
      <c r="A481" s="138"/>
    </row>
    <row r="482" spans="1:1" ht="15.75" customHeight="1" x14ac:dyDescent="0.25">
      <c r="A482" s="138"/>
    </row>
    <row r="483" spans="1:1" ht="15.75" customHeight="1" x14ac:dyDescent="0.25">
      <c r="A483" s="138"/>
    </row>
    <row r="484" spans="1:1" ht="15.75" customHeight="1" x14ac:dyDescent="0.25">
      <c r="A484" s="138"/>
    </row>
    <row r="485" spans="1:1" ht="15.75" customHeight="1" x14ac:dyDescent="0.25">
      <c r="A485" s="138"/>
    </row>
    <row r="486" spans="1:1" ht="15.75" customHeight="1" x14ac:dyDescent="0.25">
      <c r="A486" s="138"/>
    </row>
    <row r="487" spans="1:1" ht="15.75" customHeight="1" x14ac:dyDescent="0.25">
      <c r="A487" s="138"/>
    </row>
    <row r="488" spans="1:1" ht="15.75" customHeight="1" x14ac:dyDescent="0.25">
      <c r="A488" s="138"/>
    </row>
    <row r="489" spans="1:1" ht="15.75" customHeight="1" x14ac:dyDescent="0.25">
      <c r="A489" s="138"/>
    </row>
    <row r="490" spans="1:1" ht="15.75" customHeight="1" x14ac:dyDescent="0.25">
      <c r="A490" s="138"/>
    </row>
    <row r="491" spans="1:1" ht="15.75" customHeight="1" x14ac:dyDescent="0.25">
      <c r="A491" s="138"/>
    </row>
    <row r="492" spans="1:1" ht="15.75" customHeight="1" x14ac:dyDescent="0.25">
      <c r="A492" s="138"/>
    </row>
    <row r="493" spans="1:1" ht="15.75" customHeight="1" x14ac:dyDescent="0.25">
      <c r="A493" s="138"/>
    </row>
    <row r="494" spans="1:1" ht="15.75" customHeight="1" x14ac:dyDescent="0.25">
      <c r="A494" s="138"/>
    </row>
    <row r="495" spans="1:1" ht="15.75" customHeight="1" x14ac:dyDescent="0.25">
      <c r="A495" s="138"/>
    </row>
    <row r="496" spans="1:1" ht="15.75" customHeight="1" x14ac:dyDescent="0.25">
      <c r="A496" s="138"/>
    </row>
    <row r="497" spans="1:1" ht="15.75" customHeight="1" x14ac:dyDescent="0.25">
      <c r="A497" s="138"/>
    </row>
    <row r="498" spans="1:1" ht="15.75" customHeight="1" x14ac:dyDescent="0.25">
      <c r="A498" s="138"/>
    </row>
    <row r="499" spans="1:1" ht="15.75" customHeight="1" x14ac:dyDescent="0.25">
      <c r="A499" s="138"/>
    </row>
    <row r="500" spans="1:1" ht="15.75" customHeight="1" x14ac:dyDescent="0.25">
      <c r="A500" s="138"/>
    </row>
    <row r="501" spans="1:1" ht="15.75" customHeight="1" x14ac:dyDescent="0.25">
      <c r="A501" s="138"/>
    </row>
    <row r="502" spans="1:1" ht="15.75" customHeight="1" x14ac:dyDescent="0.25">
      <c r="A502" s="138"/>
    </row>
    <row r="503" spans="1:1" ht="15.75" customHeight="1" x14ac:dyDescent="0.25">
      <c r="A503" s="138"/>
    </row>
    <row r="504" spans="1:1" ht="15.75" customHeight="1" x14ac:dyDescent="0.25">
      <c r="A504" s="138"/>
    </row>
    <row r="505" spans="1:1" ht="15.75" customHeight="1" x14ac:dyDescent="0.25">
      <c r="A505" s="138"/>
    </row>
    <row r="506" spans="1:1" ht="15.75" customHeight="1" x14ac:dyDescent="0.25">
      <c r="A506" s="138"/>
    </row>
    <row r="507" spans="1:1" ht="15.75" customHeight="1" x14ac:dyDescent="0.25">
      <c r="A507" s="138"/>
    </row>
    <row r="508" spans="1:1" ht="15.75" customHeight="1" x14ac:dyDescent="0.25">
      <c r="A508" s="138"/>
    </row>
    <row r="509" spans="1:1" ht="15.75" customHeight="1" x14ac:dyDescent="0.25">
      <c r="A509" s="138"/>
    </row>
    <row r="510" spans="1:1" ht="15.75" customHeight="1" x14ac:dyDescent="0.25">
      <c r="A510" s="138"/>
    </row>
    <row r="511" spans="1:1" ht="15.75" customHeight="1" x14ac:dyDescent="0.25">
      <c r="A511" s="138"/>
    </row>
    <row r="512" spans="1:1" ht="15.75" customHeight="1" x14ac:dyDescent="0.25">
      <c r="A512" s="138"/>
    </row>
    <row r="513" spans="1:1" ht="15.75" customHeight="1" x14ac:dyDescent="0.25">
      <c r="A513" s="138"/>
    </row>
    <row r="514" spans="1:1" ht="15.75" customHeight="1" x14ac:dyDescent="0.25">
      <c r="A514" s="138"/>
    </row>
    <row r="515" spans="1:1" ht="15.75" customHeight="1" x14ac:dyDescent="0.25">
      <c r="A515" s="138"/>
    </row>
    <row r="516" spans="1:1" ht="15.75" customHeight="1" x14ac:dyDescent="0.25">
      <c r="A516" s="138"/>
    </row>
    <row r="517" spans="1:1" ht="15.75" customHeight="1" x14ac:dyDescent="0.25">
      <c r="A517" s="138"/>
    </row>
    <row r="518" spans="1:1" ht="15.75" customHeight="1" x14ac:dyDescent="0.25">
      <c r="A518" s="138"/>
    </row>
    <row r="519" spans="1:1" ht="15.75" customHeight="1" x14ac:dyDescent="0.25">
      <c r="A519" s="138"/>
    </row>
    <row r="520" spans="1:1" ht="15.75" customHeight="1" x14ac:dyDescent="0.25">
      <c r="A520" s="138"/>
    </row>
    <row r="521" spans="1:1" ht="15.75" customHeight="1" x14ac:dyDescent="0.25">
      <c r="A521" s="138"/>
    </row>
    <row r="522" spans="1:1" ht="15.75" customHeight="1" x14ac:dyDescent="0.25">
      <c r="A522" s="138"/>
    </row>
    <row r="523" spans="1:1" ht="15.75" customHeight="1" x14ac:dyDescent="0.25">
      <c r="A523" s="138"/>
    </row>
    <row r="524" spans="1:1" ht="15.75" customHeight="1" x14ac:dyDescent="0.25">
      <c r="A524" s="138"/>
    </row>
    <row r="525" spans="1:1" ht="15.75" customHeight="1" x14ac:dyDescent="0.25">
      <c r="A525" s="138"/>
    </row>
    <row r="526" spans="1:1" ht="15.75" customHeight="1" x14ac:dyDescent="0.25">
      <c r="A526" s="138"/>
    </row>
    <row r="527" spans="1:1" ht="15.75" customHeight="1" x14ac:dyDescent="0.25">
      <c r="A527" s="138"/>
    </row>
    <row r="528" spans="1:1" ht="15.75" customHeight="1" x14ac:dyDescent="0.25">
      <c r="A528" s="138"/>
    </row>
    <row r="529" spans="1:1" ht="15.75" customHeight="1" x14ac:dyDescent="0.25">
      <c r="A529" s="138"/>
    </row>
    <row r="530" spans="1:1" ht="15.75" customHeight="1" x14ac:dyDescent="0.25">
      <c r="A530" s="138"/>
    </row>
    <row r="531" spans="1:1" ht="15.75" customHeight="1" x14ac:dyDescent="0.25">
      <c r="A531" s="138"/>
    </row>
    <row r="532" spans="1:1" ht="15.75" customHeight="1" x14ac:dyDescent="0.25">
      <c r="A532" s="138"/>
    </row>
    <row r="533" spans="1:1" ht="15.75" customHeight="1" x14ac:dyDescent="0.25">
      <c r="A533" s="138"/>
    </row>
    <row r="534" spans="1:1" ht="15.75" customHeight="1" x14ac:dyDescent="0.25">
      <c r="A534" s="138"/>
    </row>
    <row r="535" spans="1:1" ht="15.75" customHeight="1" x14ac:dyDescent="0.25">
      <c r="A535" s="138"/>
    </row>
    <row r="536" spans="1:1" ht="15.75" customHeight="1" x14ac:dyDescent="0.25">
      <c r="A536" s="138"/>
    </row>
    <row r="537" spans="1:1" ht="15.75" customHeight="1" x14ac:dyDescent="0.25">
      <c r="A537" s="138"/>
    </row>
    <row r="538" spans="1:1" ht="15.75" customHeight="1" x14ac:dyDescent="0.25">
      <c r="A538" s="138"/>
    </row>
    <row r="539" spans="1:1" ht="15.75" customHeight="1" x14ac:dyDescent="0.25">
      <c r="A539" s="138"/>
    </row>
    <row r="540" spans="1:1" ht="15.75" customHeight="1" x14ac:dyDescent="0.25">
      <c r="A540" s="138"/>
    </row>
    <row r="541" spans="1:1" ht="15.75" customHeight="1" x14ac:dyDescent="0.25">
      <c r="A541" s="138"/>
    </row>
    <row r="542" spans="1:1" ht="15.75" customHeight="1" x14ac:dyDescent="0.25">
      <c r="A542" s="138"/>
    </row>
    <row r="543" spans="1:1" ht="15.75" customHeight="1" x14ac:dyDescent="0.25">
      <c r="A543" s="138"/>
    </row>
    <row r="544" spans="1:1" ht="15.75" customHeight="1" x14ac:dyDescent="0.25">
      <c r="A544" s="138"/>
    </row>
    <row r="545" spans="1:1" ht="15.75" customHeight="1" x14ac:dyDescent="0.25">
      <c r="A545" s="138"/>
    </row>
    <row r="546" spans="1:1" ht="15.75" customHeight="1" x14ac:dyDescent="0.25">
      <c r="A546" s="138"/>
    </row>
    <row r="547" spans="1:1" ht="15.75" customHeight="1" x14ac:dyDescent="0.25">
      <c r="A547" s="138"/>
    </row>
    <row r="548" spans="1:1" ht="15.75" customHeight="1" x14ac:dyDescent="0.25">
      <c r="A548" s="138"/>
    </row>
    <row r="549" spans="1:1" ht="15.75" customHeight="1" x14ac:dyDescent="0.25">
      <c r="A549" s="138"/>
    </row>
    <row r="550" spans="1:1" ht="15.75" customHeight="1" x14ac:dyDescent="0.25">
      <c r="A550" s="138"/>
    </row>
    <row r="551" spans="1:1" ht="15.75" customHeight="1" x14ac:dyDescent="0.25">
      <c r="A551" s="138"/>
    </row>
    <row r="552" spans="1:1" ht="15.75" customHeight="1" x14ac:dyDescent="0.25">
      <c r="A552" s="138"/>
    </row>
    <row r="553" spans="1:1" ht="15.75" customHeight="1" x14ac:dyDescent="0.25">
      <c r="A553" s="138"/>
    </row>
    <row r="554" spans="1:1" ht="15.75" customHeight="1" x14ac:dyDescent="0.25">
      <c r="A554" s="138"/>
    </row>
    <row r="555" spans="1:1" ht="15.75" customHeight="1" x14ac:dyDescent="0.25">
      <c r="A555" s="138"/>
    </row>
    <row r="556" spans="1:1" ht="15.75" customHeight="1" x14ac:dyDescent="0.25">
      <c r="A556" s="138"/>
    </row>
    <row r="557" spans="1:1" ht="15.75" customHeight="1" x14ac:dyDescent="0.25">
      <c r="A557" s="138"/>
    </row>
    <row r="558" spans="1:1" ht="15.75" customHeight="1" x14ac:dyDescent="0.25">
      <c r="A558" s="138"/>
    </row>
    <row r="559" spans="1:1" ht="15.75" customHeight="1" x14ac:dyDescent="0.25">
      <c r="A559" s="138"/>
    </row>
    <row r="560" spans="1:1" ht="15.75" customHeight="1" x14ac:dyDescent="0.25">
      <c r="A560" s="138"/>
    </row>
    <row r="561" spans="1:1" ht="15.75" customHeight="1" x14ac:dyDescent="0.25">
      <c r="A561" s="138"/>
    </row>
    <row r="562" spans="1:1" ht="15.75" customHeight="1" x14ac:dyDescent="0.25">
      <c r="A562" s="138"/>
    </row>
    <row r="563" spans="1:1" ht="15.75" customHeight="1" x14ac:dyDescent="0.25">
      <c r="A563" s="138"/>
    </row>
    <row r="564" spans="1:1" ht="15.75" customHeight="1" x14ac:dyDescent="0.25">
      <c r="A564" s="138"/>
    </row>
    <row r="565" spans="1:1" ht="15.75" customHeight="1" x14ac:dyDescent="0.25">
      <c r="A565" s="138"/>
    </row>
    <row r="566" spans="1:1" ht="15.75" customHeight="1" x14ac:dyDescent="0.25">
      <c r="A566" s="138"/>
    </row>
    <row r="567" spans="1:1" ht="15.75" customHeight="1" x14ac:dyDescent="0.25">
      <c r="A567" s="138"/>
    </row>
    <row r="568" spans="1:1" ht="15.75" customHeight="1" x14ac:dyDescent="0.25">
      <c r="A568" s="138"/>
    </row>
    <row r="569" spans="1:1" ht="15.75" customHeight="1" x14ac:dyDescent="0.25">
      <c r="A569" s="138"/>
    </row>
    <row r="570" spans="1:1" ht="15.75" customHeight="1" x14ac:dyDescent="0.25">
      <c r="A570" s="138"/>
    </row>
    <row r="571" spans="1:1" ht="15.75" customHeight="1" x14ac:dyDescent="0.25">
      <c r="A571" s="138"/>
    </row>
    <row r="572" spans="1:1" ht="15.75" customHeight="1" x14ac:dyDescent="0.25">
      <c r="A572" s="138"/>
    </row>
    <row r="573" spans="1:1" ht="15.75" customHeight="1" x14ac:dyDescent="0.25">
      <c r="A573" s="138"/>
    </row>
    <row r="574" spans="1:1" ht="15.75" customHeight="1" x14ac:dyDescent="0.25">
      <c r="A574" s="138"/>
    </row>
    <row r="575" spans="1:1" ht="15.75" customHeight="1" x14ac:dyDescent="0.25">
      <c r="A575" s="138"/>
    </row>
    <row r="576" spans="1:1" ht="15.75" customHeight="1" x14ac:dyDescent="0.25">
      <c r="A576" s="138"/>
    </row>
    <row r="577" spans="1:1" ht="15.75" customHeight="1" x14ac:dyDescent="0.25">
      <c r="A577" s="138"/>
    </row>
    <row r="578" spans="1:1" ht="15.75" customHeight="1" x14ac:dyDescent="0.25">
      <c r="A578" s="138"/>
    </row>
    <row r="579" spans="1:1" ht="15.75" customHeight="1" x14ac:dyDescent="0.25">
      <c r="A579" s="138"/>
    </row>
    <row r="580" spans="1:1" ht="15.75" customHeight="1" x14ac:dyDescent="0.25">
      <c r="A580" s="138"/>
    </row>
    <row r="581" spans="1:1" ht="15.75" customHeight="1" x14ac:dyDescent="0.25">
      <c r="A581" s="138"/>
    </row>
    <row r="582" spans="1:1" ht="15.75" customHeight="1" x14ac:dyDescent="0.25">
      <c r="A582" s="138"/>
    </row>
    <row r="583" spans="1:1" ht="15.75" customHeight="1" x14ac:dyDescent="0.25">
      <c r="A583" s="138"/>
    </row>
    <row r="584" spans="1:1" ht="15.75" customHeight="1" x14ac:dyDescent="0.25">
      <c r="A584" s="138"/>
    </row>
    <row r="585" spans="1:1" ht="15.75" customHeight="1" x14ac:dyDescent="0.25">
      <c r="A585" s="138"/>
    </row>
    <row r="586" spans="1:1" ht="15.75" customHeight="1" x14ac:dyDescent="0.25">
      <c r="A586" s="138"/>
    </row>
    <row r="587" spans="1:1" ht="15.75" customHeight="1" x14ac:dyDescent="0.25">
      <c r="A587" s="138"/>
    </row>
    <row r="588" spans="1:1" ht="15.75" customHeight="1" x14ac:dyDescent="0.25">
      <c r="A588" s="138"/>
    </row>
    <row r="589" spans="1:1" ht="15.75" customHeight="1" x14ac:dyDescent="0.25">
      <c r="A589" s="138"/>
    </row>
    <row r="590" spans="1:1" ht="15.75" customHeight="1" x14ac:dyDescent="0.25">
      <c r="A590" s="138"/>
    </row>
    <row r="591" spans="1:1" ht="15.75" customHeight="1" x14ac:dyDescent="0.25">
      <c r="A591" s="138"/>
    </row>
    <row r="592" spans="1:1" ht="15.75" customHeight="1" x14ac:dyDescent="0.25">
      <c r="A592" s="138"/>
    </row>
    <row r="593" spans="1:1" ht="15.75" customHeight="1" x14ac:dyDescent="0.25">
      <c r="A593" s="138"/>
    </row>
    <row r="594" spans="1:1" ht="15.75" customHeight="1" x14ac:dyDescent="0.25">
      <c r="A594" s="138"/>
    </row>
    <row r="595" spans="1:1" ht="15.75" customHeight="1" x14ac:dyDescent="0.25">
      <c r="A595" s="138"/>
    </row>
    <row r="596" spans="1:1" ht="15.75" customHeight="1" x14ac:dyDescent="0.25">
      <c r="A596" s="138"/>
    </row>
    <row r="597" spans="1:1" ht="15.75" customHeight="1" x14ac:dyDescent="0.25">
      <c r="A597" s="138"/>
    </row>
    <row r="598" spans="1:1" ht="15.75" customHeight="1" x14ac:dyDescent="0.25">
      <c r="A598" s="138"/>
    </row>
    <row r="599" spans="1:1" ht="15.75" customHeight="1" x14ac:dyDescent="0.25">
      <c r="A599" s="138"/>
    </row>
    <row r="600" spans="1:1" ht="15.75" customHeight="1" x14ac:dyDescent="0.25">
      <c r="A600" s="138"/>
    </row>
    <row r="601" spans="1:1" ht="15.75" customHeight="1" x14ac:dyDescent="0.25">
      <c r="A601" s="138"/>
    </row>
    <row r="602" spans="1:1" ht="15.75" customHeight="1" x14ac:dyDescent="0.25">
      <c r="A602" s="138"/>
    </row>
    <row r="603" spans="1:1" ht="15.75" customHeight="1" x14ac:dyDescent="0.25">
      <c r="A603" s="138"/>
    </row>
    <row r="604" spans="1:1" ht="15.75" customHeight="1" x14ac:dyDescent="0.25">
      <c r="A604" s="138"/>
    </row>
    <row r="605" spans="1:1" ht="15.75" customHeight="1" x14ac:dyDescent="0.25">
      <c r="A605" s="138"/>
    </row>
    <row r="606" spans="1:1" ht="15.75" customHeight="1" x14ac:dyDescent="0.25">
      <c r="A606" s="138"/>
    </row>
    <row r="607" spans="1:1" ht="15.75" customHeight="1" x14ac:dyDescent="0.25">
      <c r="A607" s="138"/>
    </row>
    <row r="608" spans="1:1" ht="15.75" customHeight="1" x14ac:dyDescent="0.25">
      <c r="A608" s="138"/>
    </row>
    <row r="609" spans="1:1" ht="15.75" customHeight="1" x14ac:dyDescent="0.25">
      <c r="A609" s="138"/>
    </row>
    <row r="610" spans="1:1" ht="15.75" customHeight="1" x14ac:dyDescent="0.25">
      <c r="A610" s="138"/>
    </row>
    <row r="611" spans="1:1" ht="15.75" customHeight="1" x14ac:dyDescent="0.25">
      <c r="A611" s="138"/>
    </row>
    <row r="612" spans="1:1" ht="15.75" customHeight="1" x14ac:dyDescent="0.25">
      <c r="A612" s="138"/>
    </row>
    <row r="613" spans="1:1" ht="15.75" customHeight="1" x14ac:dyDescent="0.25">
      <c r="A613" s="138"/>
    </row>
    <row r="614" spans="1:1" ht="15.75" customHeight="1" x14ac:dyDescent="0.25">
      <c r="A614" s="138"/>
    </row>
    <row r="615" spans="1:1" ht="15.75" customHeight="1" x14ac:dyDescent="0.25">
      <c r="A615" s="138"/>
    </row>
    <row r="616" spans="1:1" ht="15.75" customHeight="1" x14ac:dyDescent="0.25">
      <c r="A616" s="138"/>
    </row>
    <row r="617" spans="1:1" ht="15.75" customHeight="1" x14ac:dyDescent="0.25">
      <c r="A617" s="138"/>
    </row>
    <row r="618" spans="1:1" ht="15.75" customHeight="1" x14ac:dyDescent="0.25">
      <c r="A618" s="138"/>
    </row>
    <row r="619" spans="1:1" ht="15.75" customHeight="1" x14ac:dyDescent="0.25">
      <c r="A619" s="138"/>
    </row>
    <row r="620" spans="1:1" ht="15.75" customHeight="1" x14ac:dyDescent="0.25">
      <c r="A620" s="138"/>
    </row>
    <row r="621" spans="1:1" ht="15.75" customHeight="1" x14ac:dyDescent="0.25">
      <c r="A621" s="138"/>
    </row>
    <row r="622" spans="1:1" ht="15.75" customHeight="1" x14ac:dyDescent="0.25">
      <c r="A622" s="138"/>
    </row>
    <row r="623" spans="1:1" ht="15.75" customHeight="1" x14ac:dyDescent="0.25">
      <c r="A623" s="138"/>
    </row>
    <row r="624" spans="1:1" ht="15.75" customHeight="1" x14ac:dyDescent="0.25">
      <c r="A624" s="138"/>
    </row>
    <row r="625" spans="1:1" ht="15.75" customHeight="1" x14ac:dyDescent="0.25">
      <c r="A625" s="138"/>
    </row>
    <row r="626" spans="1:1" ht="15.75" customHeight="1" x14ac:dyDescent="0.25">
      <c r="A626" s="138"/>
    </row>
    <row r="627" spans="1:1" ht="15.75" customHeight="1" x14ac:dyDescent="0.25">
      <c r="A627" s="138"/>
    </row>
    <row r="628" spans="1:1" ht="15.75" customHeight="1" x14ac:dyDescent="0.25">
      <c r="A628" s="138"/>
    </row>
    <row r="629" spans="1:1" ht="15.75" customHeight="1" x14ac:dyDescent="0.25">
      <c r="A629" s="138"/>
    </row>
    <row r="630" spans="1:1" ht="15.75" customHeight="1" x14ac:dyDescent="0.25">
      <c r="A630" s="138"/>
    </row>
    <row r="631" spans="1:1" ht="15.75" customHeight="1" x14ac:dyDescent="0.25">
      <c r="A631" s="138"/>
    </row>
    <row r="632" spans="1:1" ht="15.75" customHeight="1" x14ac:dyDescent="0.25">
      <c r="A632" s="138"/>
    </row>
    <row r="633" spans="1:1" ht="15.75" customHeight="1" x14ac:dyDescent="0.25">
      <c r="A633" s="138"/>
    </row>
    <row r="634" spans="1:1" ht="15.75" customHeight="1" x14ac:dyDescent="0.25">
      <c r="A634" s="138"/>
    </row>
    <row r="635" spans="1:1" ht="15.75" customHeight="1" x14ac:dyDescent="0.25">
      <c r="A635" s="138"/>
    </row>
    <row r="636" spans="1:1" ht="15.75" customHeight="1" x14ac:dyDescent="0.25">
      <c r="A636" s="138"/>
    </row>
    <row r="637" spans="1:1" ht="15.75" customHeight="1" x14ac:dyDescent="0.25">
      <c r="A637" s="138"/>
    </row>
    <row r="638" spans="1:1" ht="15.75" customHeight="1" x14ac:dyDescent="0.25">
      <c r="A638" s="138"/>
    </row>
    <row r="639" spans="1:1" ht="15.75" customHeight="1" x14ac:dyDescent="0.25">
      <c r="A639" s="138"/>
    </row>
    <row r="640" spans="1:1" ht="15.75" customHeight="1" x14ac:dyDescent="0.25">
      <c r="A640" s="138"/>
    </row>
    <row r="641" spans="1:1" ht="15.75" customHeight="1" x14ac:dyDescent="0.25">
      <c r="A641" s="138"/>
    </row>
    <row r="642" spans="1:1" ht="15.75" customHeight="1" x14ac:dyDescent="0.25">
      <c r="A642" s="138"/>
    </row>
    <row r="643" spans="1:1" ht="15.75" customHeight="1" x14ac:dyDescent="0.25">
      <c r="A643" s="138"/>
    </row>
    <row r="644" spans="1:1" ht="15.75" customHeight="1" x14ac:dyDescent="0.25">
      <c r="A644" s="138"/>
    </row>
    <row r="645" spans="1:1" ht="15.75" customHeight="1" x14ac:dyDescent="0.25">
      <c r="A645" s="138"/>
    </row>
    <row r="646" spans="1:1" ht="15.75" customHeight="1" x14ac:dyDescent="0.25">
      <c r="A646" s="138"/>
    </row>
    <row r="647" spans="1:1" ht="15.75" customHeight="1" x14ac:dyDescent="0.25">
      <c r="A647" s="138"/>
    </row>
    <row r="648" spans="1:1" ht="15.75" customHeight="1" x14ac:dyDescent="0.25">
      <c r="A648" s="138"/>
    </row>
    <row r="649" spans="1:1" ht="15.75" customHeight="1" x14ac:dyDescent="0.25">
      <c r="A649" s="138"/>
    </row>
    <row r="650" spans="1:1" ht="15.75" customHeight="1" x14ac:dyDescent="0.25">
      <c r="A650" s="138"/>
    </row>
    <row r="651" spans="1:1" ht="15.75" customHeight="1" x14ac:dyDescent="0.25">
      <c r="A651" s="138"/>
    </row>
    <row r="652" spans="1:1" ht="15.75" customHeight="1" x14ac:dyDescent="0.25">
      <c r="A652" s="138"/>
    </row>
    <row r="653" spans="1:1" ht="15.75" customHeight="1" x14ac:dyDescent="0.25">
      <c r="A653" s="138"/>
    </row>
    <row r="654" spans="1:1" ht="15.75" customHeight="1" x14ac:dyDescent="0.25">
      <c r="A654" s="138"/>
    </row>
    <row r="655" spans="1:1" ht="15.75" customHeight="1" x14ac:dyDescent="0.25">
      <c r="A655" s="138"/>
    </row>
    <row r="656" spans="1:1" ht="15.75" customHeight="1" x14ac:dyDescent="0.25">
      <c r="A656" s="138"/>
    </row>
    <row r="657" spans="1:1" ht="15.75" customHeight="1" x14ac:dyDescent="0.25">
      <c r="A657" s="138"/>
    </row>
    <row r="658" spans="1:1" ht="15.75" customHeight="1" x14ac:dyDescent="0.25">
      <c r="A658" s="138"/>
    </row>
    <row r="659" spans="1:1" ht="15.75" customHeight="1" x14ac:dyDescent="0.25">
      <c r="A659" s="138"/>
    </row>
    <row r="660" spans="1:1" ht="15.75" customHeight="1" x14ac:dyDescent="0.25">
      <c r="A660" s="138"/>
    </row>
    <row r="661" spans="1:1" ht="15.75" customHeight="1" x14ac:dyDescent="0.25">
      <c r="A661" s="138"/>
    </row>
    <row r="662" spans="1:1" ht="15.75" customHeight="1" x14ac:dyDescent="0.25">
      <c r="A662" s="138"/>
    </row>
    <row r="663" spans="1:1" ht="15.75" customHeight="1" x14ac:dyDescent="0.25">
      <c r="A663" s="138"/>
    </row>
    <row r="664" spans="1:1" ht="15.75" customHeight="1" x14ac:dyDescent="0.25">
      <c r="A664" s="138"/>
    </row>
    <row r="665" spans="1:1" ht="15.75" customHeight="1" x14ac:dyDescent="0.25">
      <c r="A665" s="138"/>
    </row>
    <row r="666" spans="1:1" ht="15.75" customHeight="1" x14ac:dyDescent="0.25">
      <c r="A666" s="138"/>
    </row>
    <row r="667" spans="1:1" ht="15.75" customHeight="1" x14ac:dyDescent="0.25">
      <c r="A667" s="138"/>
    </row>
    <row r="668" spans="1:1" ht="15.75" customHeight="1" x14ac:dyDescent="0.25">
      <c r="A668" s="138"/>
    </row>
    <row r="669" spans="1:1" ht="15.75" customHeight="1" x14ac:dyDescent="0.25">
      <c r="A669" s="138"/>
    </row>
    <row r="670" spans="1:1" ht="15.75" customHeight="1" x14ac:dyDescent="0.25">
      <c r="A670" s="138"/>
    </row>
    <row r="671" spans="1:1" ht="15.75" customHeight="1" x14ac:dyDescent="0.25">
      <c r="A671" s="138"/>
    </row>
    <row r="672" spans="1:1" ht="15.75" customHeight="1" x14ac:dyDescent="0.25">
      <c r="A672" s="138"/>
    </row>
    <row r="673" spans="1:1" ht="15.75" customHeight="1" x14ac:dyDescent="0.25">
      <c r="A673" s="138"/>
    </row>
    <row r="674" spans="1:1" ht="15.75" customHeight="1" x14ac:dyDescent="0.25">
      <c r="A674" s="138"/>
    </row>
    <row r="675" spans="1:1" ht="15.75" customHeight="1" x14ac:dyDescent="0.25">
      <c r="A675" s="138"/>
    </row>
    <row r="676" spans="1:1" ht="15.75" customHeight="1" x14ac:dyDescent="0.25">
      <c r="A676" s="138"/>
    </row>
    <row r="677" spans="1:1" ht="15.75" customHeight="1" x14ac:dyDescent="0.25">
      <c r="A677" s="138"/>
    </row>
    <row r="678" spans="1:1" ht="15.75" customHeight="1" x14ac:dyDescent="0.25">
      <c r="A678" s="138"/>
    </row>
    <row r="679" spans="1:1" ht="15.75" customHeight="1" x14ac:dyDescent="0.25">
      <c r="A679" s="138"/>
    </row>
    <row r="680" spans="1:1" ht="15.75" customHeight="1" x14ac:dyDescent="0.25">
      <c r="A680" s="138"/>
    </row>
    <row r="681" spans="1:1" ht="15.75" customHeight="1" x14ac:dyDescent="0.25">
      <c r="A681" s="138"/>
    </row>
    <row r="682" spans="1:1" ht="15.75" customHeight="1" x14ac:dyDescent="0.25">
      <c r="A682" s="138"/>
    </row>
    <row r="683" spans="1:1" ht="15.75" customHeight="1" x14ac:dyDescent="0.25">
      <c r="A683" s="138"/>
    </row>
    <row r="684" spans="1:1" ht="15.75" customHeight="1" x14ac:dyDescent="0.25">
      <c r="A684" s="138"/>
    </row>
    <row r="685" spans="1:1" ht="15.75" customHeight="1" x14ac:dyDescent="0.25">
      <c r="A685" s="138"/>
    </row>
    <row r="686" spans="1:1" ht="15.75" customHeight="1" x14ac:dyDescent="0.25">
      <c r="A686" s="138"/>
    </row>
    <row r="687" spans="1:1" ht="15.75" customHeight="1" x14ac:dyDescent="0.25">
      <c r="A687" s="138"/>
    </row>
    <row r="688" spans="1:1" ht="15.75" customHeight="1" x14ac:dyDescent="0.25">
      <c r="A688" s="138"/>
    </row>
    <row r="689" spans="1:1" ht="15.75" customHeight="1" x14ac:dyDescent="0.25">
      <c r="A689" s="138"/>
    </row>
    <row r="690" spans="1:1" ht="15.75" customHeight="1" x14ac:dyDescent="0.25">
      <c r="A690" s="138"/>
    </row>
    <row r="691" spans="1:1" ht="15.75" customHeight="1" x14ac:dyDescent="0.25">
      <c r="A691" s="138"/>
    </row>
    <row r="692" spans="1:1" ht="15.75" customHeight="1" x14ac:dyDescent="0.25">
      <c r="A692" s="138"/>
    </row>
    <row r="693" spans="1:1" ht="15.75" customHeight="1" x14ac:dyDescent="0.25">
      <c r="A693" s="138"/>
    </row>
    <row r="694" spans="1:1" ht="15.75" customHeight="1" x14ac:dyDescent="0.25">
      <c r="A694" s="138"/>
    </row>
    <row r="695" spans="1:1" ht="15.75" customHeight="1" x14ac:dyDescent="0.25">
      <c r="A695" s="138"/>
    </row>
    <row r="696" spans="1:1" ht="15.75" customHeight="1" x14ac:dyDescent="0.25">
      <c r="A696" s="138"/>
    </row>
    <row r="697" spans="1:1" ht="15.75" customHeight="1" x14ac:dyDescent="0.25">
      <c r="A697" s="138"/>
    </row>
    <row r="698" spans="1:1" ht="15.75" customHeight="1" x14ac:dyDescent="0.25">
      <c r="A698" s="138"/>
    </row>
    <row r="699" spans="1:1" ht="15.75" customHeight="1" x14ac:dyDescent="0.25">
      <c r="A699" s="138"/>
    </row>
    <row r="700" spans="1:1" ht="15.75" customHeight="1" x14ac:dyDescent="0.25">
      <c r="A700" s="138"/>
    </row>
    <row r="701" spans="1:1" ht="15.75" customHeight="1" x14ac:dyDescent="0.25">
      <c r="A701" s="138"/>
    </row>
    <row r="702" spans="1:1" ht="15.75" customHeight="1" x14ac:dyDescent="0.25">
      <c r="A702" s="138"/>
    </row>
    <row r="703" spans="1:1" ht="15.75" customHeight="1" x14ac:dyDescent="0.25">
      <c r="A703" s="138"/>
    </row>
    <row r="704" spans="1:1" ht="15.75" customHeight="1" x14ac:dyDescent="0.25">
      <c r="A704" s="138"/>
    </row>
    <row r="705" spans="1:1" ht="15.75" customHeight="1" x14ac:dyDescent="0.25">
      <c r="A705" s="138"/>
    </row>
    <row r="706" spans="1:1" ht="15.75" customHeight="1" x14ac:dyDescent="0.25">
      <c r="A706" s="138"/>
    </row>
    <row r="707" spans="1:1" ht="15.75" customHeight="1" x14ac:dyDescent="0.25">
      <c r="A707" s="138"/>
    </row>
    <row r="708" spans="1:1" ht="15.75" customHeight="1" x14ac:dyDescent="0.25">
      <c r="A708" s="138"/>
    </row>
    <row r="709" spans="1:1" ht="15.75" customHeight="1" x14ac:dyDescent="0.25">
      <c r="A709" s="138"/>
    </row>
    <row r="710" spans="1:1" ht="15.75" customHeight="1" x14ac:dyDescent="0.25">
      <c r="A710" s="138"/>
    </row>
    <row r="711" spans="1:1" ht="15.75" customHeight="1" x14ac:dyDescent="0.25">
      <c r="A711" s="138"/>
    </row>
    <row r="712" spans="1:1" ht="15.75" customHeight="1" x14ac:dyDescent="0.25">
      <c r="A712" s="138"/>
    </row>
    <row r="713" spans="1:1" ht="15.75" customHeight="1" x14ac:dyDescent="0.25">
      <c r="A713" s="138"/>
    </row>
    <row r="714" spans="1:1" ht="15.75" customHeight="1" x14ac:dyDescent="0.25">
      <c r="A714" s="138"/>
    </row>
    <row r="715" spans="1:1" ht="15.75" customHeight="1" x14ac:dyDescent="0.25">
      <c r="A715" s="138"/>
    </row>
    <row r="716" spans="1:1" ht="15.75" customHeight="1" x14ac:dyDescent="0.25">
      <c r="A716" s="138"/>
    </row>
    <row r="717" spans="1:1" ht="15.75" customHeight="1" x14ac:dyDescent="0.25">
      <c r="A717" s="138"/>
    </row>
    <row r="718" spans="1:1" ht="15.75" customHeight="1" x14ac:dyDescent="0.25">
      <c r="A718" s="138"/>
    </row>
    <row r="719" spans="1:1" ht="15.75" customHeight="1" x14ac:dyDescent="0.25">
      <c r="A719" s="138"/>
    </row>
    <row r="720" spans="1:1" ht="15.75" customHeight="1" x14ac:dyDescent="0.25">
      <c r="A720" s="138"/>
    </row>
    <row r="721" spans="1:1" ht="15.75" customHeight="1" x14ac:dyDescent="0.25">
      <c r="A721" s="138"/>
    </row>
    <row r="722" spans="1:1" ht="15.75" customHeight="1" x14ac:dyDescent="0.25">
      <c r="A722" s="138"/>
    </row>
    <row r="723" spans="1:1" ht="15.75" customHeight="1" x14ac:dyDescent="0.25">
      <c r="A723" s="138"/>
    </row>
    <row r="724" spans="1:1" ht="15.75" customHeight="1" x14ac:dyDescent="0.25">
      <c r="A724" s="138"/>
    </row>
    <row r="725" spans="1:1" ht="15.75" customHeight="1" x14ac:dyDescent="0.25">
      <c r="A725" s="138"/>
    </row>
    <row r="726" spans="1:1" ht="15.75" customHeight="1" x14ac:dyDescent="0.25">
      <c r="A726" s="138"/>
    </row>
    <row r="727" spans="1:1" ht="15.75" customHeight="1" x14ac:dyDescent="0.25">
      <c r="A727" s="138"/>
    </row>
    <row r="728" spans="1:1" ht="15.75" customHeight="1" x14ac:dyDescent="0.25">
      <c r="A728" s="138"/>
    </row>
    <row r="729" spans="1:1" ht="15.75" customHeight="1" x14ac:dyDescent="0.25">
      <c r="A729" s="138"/>
    </row>
    <row r="730" spans="1:1" ht="15.75" customHeight="1" x14ac:dyDescent="0.25">
      <c r="A730" s="138"/>
    </row>
    <row r="731" spans="1:1" ht="15.75" customHeight="1" x14ac:dyDescent="0.25">
      <c r="A731" s="138"/>
    </row>
    <row r="732" spans="1:1" ht="15.75" customHeight="1" x14ac:dyDescent="0.25">
      <c r="A732" s="138"/>
    </row>
    <row r="733" spans="1:1" ht="15.75" customHeight="1" x14ac:dyDescent="0.25">
      <c r="A733" s="138"/>
    </row>
    <row r="734" spans="1:1" ht="15.75" customHeight="1" x14ac:dyDescent="0.25">
      <c r="A734" s="138"/>
    </row>
    <row r="735" spans="1:1" ht="15.75" customHeight="1" x14ac:dyDescent="0.25">
      <c r="A735" s="138"/>
    </row>
    <row r="736" spans="1:1" ht="15.75" customHeight="1" x14ac:dyDescent="0.25">
      <c r="A736" s="138"/>
    </row>
    <row r="737" spans="1:1" ht="15.75" customHeight="1" x14ac:dyDescent="0.25">
      <c r="A737" s="138"/>
    </row>
    <row r="738" spans="1:1" ht="15.75" customHeight="1" x14ac:dyDescent="0.25">
      <c r="A738" s="138"/>
    </row>
    <row r="739" spans="1:1" ht="15.75" customHeight="1" x14ac:dyDescent="0.25">
      <c r="A739" s="138"/>
    </row>
    <row r="740" spans="1:1" ht="15.75" customHeight="1" x14ac:dyDescent="0.25">
      <c r="A740" s="138"/>
    </row>
    <row r="741" spans="1:1" ht="15.75" customHeight="1" x14ac:dyDescent="0.25">
      <c r="A741" s="138"/>
    </row>
    <row r="742" spans="1:1" ht="15.75" customHeight="1" x14ac:dyDescent="0.25">
      <c r="A742" s="138"/>
    </row>
    <row r="743" spans="1:1" ht="15.75" customHeight="1" x14ac:dyDescent="0.25">
      <c r="A743" s="138"/>
    </row>
    <row r="744" spans="1:1" ht="15.75" customHeight="1" x14ac:dyDescent="0.25">
      <c r="A744" s="138"/>
    </row>
    <row r="745" spans="1:1" ht="15.75" customHeight="1" x14ac:dyDescent="0.25">
      <c r="A745" s="138"/>
    </row>
    <row r="746" spans="1:1" ht="15.75" customHeight="1" x14ac:dyDescent="0.25">
      <c r="A746" s="138"/>
    </row>
    <row r="747" spans="1:1" ht="15.75" customHeight="1" x14ac:dyDescent="0.25">
      <c r="A747" s="138"/>
    </row>
    <row r="748" spans="1:1" ht="15.75" customHeight="1" x14ac:dyDescent="0.25">
      <c r="A748" s="138"/>
    </row>
    <row r="749" spans="1:1" ht="15.75" customHeight="1" x14ac:dyDescent="0.25">
      <c r="A749" s="138"/>
    </row>
    <row r="750" spans="1:1" ht="15.75" customHeight="1" x14ac:dyDescent="0.25">
      <c r="A750" s="138"/>
    </row>
    <row r="751" spans="1:1" ht="15.75" customHeight="1" x14ac:dyDescent="0.25">
      <c r="A751" s="138"/>
    </row>
    <row r="752" spans="1:1" ht="15.75" customHeight="1" x14ac:dyDescent="0.25">
      <c r="A752" s="138"/>
    </row>
    <row r="753" spans="1:1" ht="15.75" customHeight="1" x14ac:dyDescent="0.25">
      <c r="A753" s="138"/>
    </row>
    <row r="754" spans="1:1" ht="15.75" customHeight="1" x14ac:dyDescent="0.25">
      <c r="A754" s="138"/>
    </row>
    <row r="755" spans="1:1" ht="15.75" customHeight="1" x14ac:dyDescent="0.25">
      <c r="A755" s="138"/>
    </row>
    <row r="756" spans="1:1" ht="15.75" customHeight="1" x14ac:dyDescent="0.25">
      <c r="A756" s="138"/>
    </row>
    <row r="757" spans="1:1" ht="15.75" customHeight="1" x14ac:dyDescent="0.25">
      <c r="A757" s="138"/>
    </row>
    <row r="758" spans="1:1" ht="15.75" customHeight="1" x14ac:dyDescent="0.25">
      <c r="A758" s="138"/>
    </row>
    <row r="759" spans="1:1" ht="15.75" customHeight="1" x14ac:dyDescent="0.25">
      <c r="A759" s="138"/>
    </row>
    <row r="760" spans="1:1" ht="15.75" customHeight="1" x14ac:dyDescent="0.25">
      <c r="A760" s="138"/>
    </row>
    <row r="761" spans="1:1" ht="15.75" customHeight="1" x14ac:dyDescent="0.25">
      <c r="A761" s="138"/>
    </row>
    <row r="762" spans="1:1" ht="15.75" customHeight="1" x14ac:dyDescent="0.25">
      <c r="A762" s="138"/>
    </row>
    <row r="763" spans="1:1" ht="15.75" customHeight="1" x14ac:dyDescent="0.25">
      <c r="A763" s="138"/>
    </row>
    <row r="764" spans="1:1" ht="15.75" customHeight="1" x14ac:dyDescent="0.25">
      <c r="A764" s="138"/>
    </row>
    <row r="765" spans="1:1" ht="15.75" customHeight="1" x14ac:dyDescent="0.25">
      <c r="A765" s="138"/>
    </row>
    <row r="766" spans="1:1" ht="15.75" customHeight="1" x14ac:dyDescent="0.25">
      <c r="A766" s="138"/>
    </row>
    <row r="767" spans="1:1" ht="15.75" customHeight="1" x14ac:dyDescent="0.25">
      <c r="A767" s="138"/>
    </row>
    <row r="768" spans="1:1" ht="15.75" customHeight="1" x14ac:dyDescent="0.25">
      <c r="A768" s="138"/>
    </row>
    <row r="769" spans="1:1" ht="15.75" customHeight="1" x14ac:dyDescent="0.25">
      <c r="A769" s="138"/>
    </row>
    <row r="770" spans="1:1" ht="15.75" customHeight="1" x14ac:dyDescent="0.25">
      <c r="A770" s="138"/>
    </row>
    <row r="771" spans="1:1" ht="15.75" customHeight="1" x14ac:dyDescent="0.25">
      <c r="A771" s="138"/>
    </row>
    <row r="772" spans="1:1" ht="15.75" customHeight="1" x14ac:dyDescent="0.25">
      <c r="A772" s="138"/>
    </row>
    <row r="773" spans="1:1" ht="15.75" customHeight="1" x14ac:dyDescent="0.25">
      <c r="A773" s="138"/>
    </row>
    <row r="774" spans="1:1" ht="15.75" customHeight="1" x14ac:dyDescent="0.25">
      <c r="A774" s="138"/>
    </row>
    <row r="775" spans="1:1" ht="15.75" customHeight="1" x14ac:dyDescent="0.25">
      <c r="A775" s="138"/>
    </row>
    <row r="776" spans="1:1" ht="15.75" customHeight="1" x14ac:dyDescent="0.25">
      <c r="A776" s="138"/>
    </row>
    <row r="777" spans="1:1" ht="15.75" customHeight="1" x14ac:dyDescent="0.25">
      <c r="A777" s="138"/>
    </row>
    <row r="778" spans="1:1" ht="15.75" customHeight="1" x14ac:dyDescent="0.25">
      <c r="A778" s="138"/>
    </row>
    <row r="779" spans="1:1" ht="15.75" customHeight="1" x14ac:dyDescent="0.25">
      <c r="A779" s="138"/>
    </row>
    <row r="780" spans="1:1" ht="15.75" customHeight="1" x14ac:dyDescent="0.25">
      <c r="A780" s="138"/>
    </row>
    <row r="781" spans="1:1" ht="15.75" customHeight="1" x14ac:dyDescent="0.25">
      <c r="A781" s="138"/>
    </row>
    <row r="782" spans="1:1" ht="15.75" customHeight="1" x14ac:dyDescent="0.25">
      <c r="A782" s="138"/>
    </row>
    <row r="783" spans="1:1" ht="15.75" customHeight="1" x14ac:dyDescent="0.25">
      <c r="A783" s="138"/>
    </row>
    <row r="784" spans="1:1" ht="15.75" customHeight="1" x14ac:dyDescent="0.25">
      <c r="A784" s="138"/>
    </row>
    <row r="785" spans="1:1" ht="15.75" customHeight="1" x14ac:dyDescent="0.25">
      <c r="A785" s="138"/>
    </row>
    <row r="786" spans="1:1" ht="15.75" customHeight="1" x14ac:dyDescent="0.25">
      <c r="A786" s="138"/>
    </row>
    <row r="787" spans="1:1" ht="15.75" customHeight="1" x14ac:dyDescent="0.25">
      <c r="A787" s="138"/>
    </row>
    <row r="788" spans="1:1" ht="15.75" customHeight="1" x14ac:dyDescent="0.25">
      <c r="A788" s="138"/>
    </row>
    <row r="789" spans="1:1" ht="15.75" customHeight="1" x14ac:dyDescent="0.25">
      <c r="A789" s="138"/>
    </row>
    <row r="790" spans="1:1" ht="15.75" customHeight="1" x14ac:dyDescent="0.25">
      <c r="A790" s="138"/>
    </row>
    <row r="791" spans="1:1" ht="15.75" customHeight="1" x14ac:dyDescent="0.25">
      <c r="A791" s="138"/>
    </row>
    <row r="792" spans="1:1" ht="15.75" customHeight="1" x14ac:dyDescent="0.25">
      <c r="A792" s="138"/>
    </row>
    <row r="793" spans="1:1" ht="15.75" customHeight="1" x14ac:dyDescent="0.25">
      <c r="A793" s="138"/>
    </row>
    <row r="794" spans="1:1" ht="15.75" customHeight="1" x14ac:dyDescent="0.25">
      <c r="A794" s="138"/>
    </row>
    <row r="795" spans="1:1" ht="15.75" customHeight="1" x14ac:dyDescent="0.25">
      <c r="A795" s="138"/>
    </row>
    <row r="796" spans="1:1" ht="15.75" customHeight="1" x14ac:dyDescent="0.25">
      <c r="A796" s="138"/>
    </row>
    <row r="797" spans="1:1" ht="15.75" customHeight="1" x14ac:dyDescent="0.25">
      <c r="A797" s="138"/>
    </row>
    <row r="798" spans="1:1" ht="15.75" customHeight="1" x14ac:dyDescent="0.25">
      <c r="A798" s="138"/>
    </row>
    <row r="799" spans="1:1" ht="15.75" customHeight="1" x14ac:dyDescent="0.25">
      <c r="A799" s="138"/>
    </row>
    <row r="800" spans="1:1" ht="15.75" customHeight="1" x14ac:dyDescent="0.25">
      <c r="A800" s="138"/>
    </row>
    <row r="801" spans="1:1" ht="15.75" customHeight="1" x14ac:dyDescent="0.25">
      <c r="A801" s="138"/>
    </row>
    <row r="802" spans="1:1" ht="15.75" customHeight="1" x14ac:dyDescent="0.25">
      <c r="A802" s="138"/>
    </row>
    <row r="803" spans="1:1" ht="15.75" customHeight="1" x14ac:dyDescent="0.25">
      <c r="A803" s="138"/>
    </row>
    <row r="804" spans="1:1" ht="15.75" customHeight="1" x14ac:dyDescent="0.25">
      <c r="A804" s="138"/>
    </row>
    <row r="805" spans="1:1" ht="15.75" customHeight="1" x14ac:dyDescent="0.25">
      <c r="A805" s="138"/>
    </row>
    <row r="806" spans="1:1" ht="15.75" customHeight="1" x14ac:dyDescent="0.25">
      <c r="A806" s="138"/>
    </row>
    <row r="807" spans="1:1" ht="15.75" customHeight="1" x14ac:dyDescent="0.25">
      <c r="A807" s="138"/>
    </row>
    <row r="808" spans="1:1" ht="15.75" customHeight="1" x14ac:dyDescent="0.25">
      <c r="A808" s="138"/>
    </row>
    <row r="809" spans="1:1" ht="15.75" customHeight="1" x14ac:dyDescent="0.25">
      <c r="A809" s="138"/>
    </row>
    <row r="810" spans="1:1" ht="15.75" customHeight="1" x14ac:dyDescent="0.25">
      <c r="A810" s="138"/>
    </row>
    <row r="811" spans="1:1" ht="15.75" customHeight="1" x14ac:dyDescent="0.25">
      <c r="A811" s="138"/>
    </row>
    <row r="812" spans="1:1" ht="15.75" customHeight="1" x14ac:dyDescent="0.25">
      <c r="A812" s="138"/>
    </row>
    <row r="813" spans="1:1" ht="15.75" customHeight="1" x14ac:dyDescent="0.25">
      <c r="A813" s="138"/>
    </row>
    <row r="814" spans="1:1" ht="15.75" customHeight="1" x14ac:dyDescent="0.25">
      <c r="A814" s="138"/>
    </row>
    <row r="815" spans="1:1" ht="15.75" customHeight="1" x14ac:dyDescent="0.25">
      <c r="A815" s="138"/>
    </row>
    <row r="816" spans="1:1" ht="15.75" customHeight="1" x14ac:dyDescent="0.25">
      <c r="A816" s="138"/>
    </row>
    <row r="817" spans="1:1" ht="15.75" customHeight="1" x14ac:dyDescent="0.25">
      <c r="A817" s="138"/>
    </row>
    <row r="818" spans="1:1" ht="15.75" customHeight="1" x14ac:dyDescent="0.25">
      <c r="A818" s="138"/>
    </row>
    <row r="819" spans="1:1" ht="15.75" customHeight="1" x14ac:dyDescent="0.25">
      <c r="A819" s="138"/>
    </row>
    <row r="820" spans="1:1" ht="15.75" customHeight="1" x14ac:dyDescent="0.25">
      <c r="A820" s="138"/>
    </row>
    <row r="821" spans="1:1" ht="15.75" customHeight="1" x14ac:dyDescent="0.25">
      <c r="A821" s="138"/>
    </row>
    <row r="822" spans="1:1" ht="15.75" customHeight="1" x14ac:dyDescent="0.25">
      <c r="A822" s="138"/>
    </row>
    <row r="823" spans="1:1" ht="15.75" customHeight="1" x14ac:dyDescent="0.25">
      <c r="A823" s="138"/>
    </row>
    <row r="824" spans="1:1" ht="15.75" customHeight="1" x14ac:dyDescent="0.25">
      <c r="A824" s="138"/>
    </row>
    <row r="825" spans="1:1" ht="15.75" customHeight="1" x14ac:dyDescent="0.25">
      <c r="A825" s="138"/>
    </row>
    <row r="826" spans="1:1" ht="15.75" customHeight="1" x14ac:dyDescent="0.25">
      <c r="A826" s="138"/>
    </row>
    <row r="827" spans="1:1" ht="15.75" customHeight="1" x14ac:dyDescent="0.25">
      <c r="A827" s="138"/>
    </row>
    <row r="828" spans="1:1" ht="15.75" customHeight="1" x14ac:dyDescent="0.25">
      <c r="A828" s="138"/>
    </row>
    <row r="829" spans="1:1" ht="15.75" customHeight="1" x14ac:dyDescent="0.25">
      <c r="A829" s="138"/>
    </row>
    <row r="830" spans="1:1" ht="15.75" customHeight="1" x14ac:dyDescent="0.25">
      <c r="A830" s="138"/>
    </row>
    <row r="831" spans="1:1" ht="15.75" customHeight="1" x14ac:dyDescent="0.25">
      <c r="A831" s="138"/>
    </row>
    <row r="832" spans="1:1" ht="15.75" customHeight="1" x14ac:dyDescent="0.25">
      <c r="A832" s="138"/>
    </row>
    <row r="833" spans="1:1" ht="15.75" customHeight="1" x14ac:dyDescent="0.25">
      <c r="A833" s="138"/>
    </row>
    <row r="834" spans="1:1" ht="15.75" customHeight="1" x14ac:dyDescent="0.25">
      <c r="A834" s="138"/>
    </row>
    <row r="835" spans="1:1" ht="15.75" customHeight="1" x14ac:dyDescent="0.25">
      <c r="A835" s="138"/>
    </row>
    <row r="836" spans="1:1" ht="15.75" customHeight="1" x14ac:dyDescent="0.25">
      <c r="A836" s="138"/>
    </row>
    <row r="837" spans="1:1" ht="15.75" customHeight="1" x14ac:dyDescent="0.25">
      <c r="A837" s="138"/>
    </row>
    <row r="838" spans="1:1" ht="15.75" customHeight="1" x14ac:dyDescent="0.25">
      <c r="A838" s="138"/>
    </row>
    <row r="839" spans="1:1" ht="15.75" customHeight="1" x14ac:dyDescent="0.25">
      <c r="A839" s="138"/>
    </row>
    <row r="840" spans="1:1" ht="15.75" customHeight="1" x14ac:dyDescent="0.25">
      <c r="A840" s="138"/>
    </row>
    <row r="841" spans="1:1" ht="15.75" customHeight="1" x14ac:dyDescent="0.25">
      <c r="A841" s="138"/>
    </row>
    <row r="842" spans="1:1" ht="15.75" customHeight="1" x14ac:dyDescent="0.25">
      <c r="A842" s="138"/>
    </row>
    <row r="843" spans="1:1" ht="15.75" customHeight="1" x14ac:dyDescent="0.25">
      <c r="A843" s="138"/>
    </row>
    <row r="844" spans="1:1" ht="15.75" customHeight="1" x14ac:dyDescent="0.25">
      <c r="A844" s="138"/>
    </row>
    <row r="845" spans="1:1" ht="15.75" customHeight="1" x14ac:dyDescent="0.25">
      <c r="A845" s="138"/>
    </row>
    <row r="846" spans="1:1" ht="15.75" customHeight="1" x14ac:dyDescent="0.25">
      <c r="A846" s="138"/>
    </row>
    <row r="847" spans="1:1" ht="15.75" customHeight="1" x14ac:dyDescent="0.25">
      <c r="A847" s="138"/>
    </row>
    <row r="848" spans="1:1" ht="15.75" customHeight="1" x14ac:dyDescent="0.25">
      <c r="A848" s="138"/>
    </row>
    <row r="849" spans="1:1" ht="15.75" customHeight="1" x14ac:dyDescent="0.25">
      <c r="A849" s="138"/>
    </row>
    <row r="850" spans="1:1" ht="15.75" customHeight="1" x14ac:dyDescent="0.25">
      <c r="A850" s="138"/>
    </row>
    <row r="851" spans="1:1" ht="15.75" customHeight="1" x14ac:dyDescent="0.25">
      <c r="A851" s="138"/>
    </row>
    <row r="852" spans="1:1" ht="15.75" customHeight="1" x14ac:dyDescent="0.25">
      <c r="A852" s="138"/>
    </row>
    <row r="853" spans="1:1" ht="15.75" customHeight="1" x14ac:dyDescent="0.25">
      <c r="A853" s="138"/>
    </row>
    <row r="854" spans="1:1" ht="15.75" customHeight="1" x14ac:dyDescent="0.25">
      <c r="A854" s="138"/>
    </row>
    <row r="855" spans="1:1" ht="15.75" customHeight="1" x14ac:dyDescent="0.25">
      <c r="A855" s="138"/>
    </row>
    <row r="856" spans="1:1" ht="15.75" customHeight="1" x14ac:dyDescent="0.25">
      <c r="A856" s="138"/>
    </row>
    <row r="857" spans="1:1" ht="15.75" customHeight="1" x14ac:dyDescent="0.25">
      <c r="A857" s="138"/>
    </row>
    <row r="858" spans="1:1" ht="15.75" customHeight="1" x14ac:dyDescent="0.25">
      <c r="A858" s="138"/>
    </row>
    <row r="859" spans="1:1" ht="15.75" customHeight="1" x14ac:dyDescent="0.25">
      <c r="A859" s="138"/>
    </row>
    <row r="860" spans="1:1" ht="15.75" customHeight="1" x14ac:dyDescent="0.25">
      <c r="A860" s="138"/>
    </row>
    <row r="861" spans="1:1" ht="15.75" customHeight="1" x14ac:dyDescent="0.25">
      <c r="A861" s="138"/>
    </row>
    <row r="862" spans="1:1" ht="15.75" customHeight="1" x14ac:dyDescent="0.25">
      <c r="A862" s="138"/>
    </row>
    <row r="863" spans="1:1" ht="15.75" customHeight="1" x14ac:dyDescent="0.25">
      <c r="A863" s="138"/>
    </row>
    <row r="864" spans="1:1" ht="15.75" customHeight="1" x14ac:dyDescent="0.25">
      <c r="A864" s="138"/>
    </row>
    <row r="865" spans="1:1" ht="15.75" customHeight="1" x14ac:dyDescent="0.25">
      <c r="A865" s="138"/>
    </row>
    <row r="866" spans="1:1" ht="15.75" customHeight="1" x14ac:dyDescent="0.25">
      <c r="A866" s="138"/>
    </row>
    <row r="867" spans="1:1" ht="15.75" customHeight="1" x14ac:dyDescent="0.25">
      <c r="A867" s="138"/>
    </row>
    <row r="868" spans="1:1" ht="15.75" customHeight="1" x14ac:dyDescent="0.25">
      <c r="A868" s="138"/>
    </row>
    <row r="869" spans="1:1" ht="15.75" customHeight="1" x14ac:dyDescent="0.25">
      <c r="A869" s="138"/>
    </row>
    <row r="870" spans="1:1" ht="15.75" customHeight="1" x14ac:dyDescent="0.25">
      <c r="A870" s="138"/>
    </row>
    <row r="871" spans="1:1" ht="15.75" customHeight="1" x14ac:dyDescent="0.25">
      <c r="A871" s="138"/>
    </row>
    <row r="872" spans="1:1" ht="15.75" customHeight="1" x14ac:dyDescent="0.25">
      <c r="A872" s="138"/>
    </row>
    <row r="873" spans="1:1" ht="15.75" customHeight="1" x14ac:dyDescent="0.25">
      <c r="A873" s="138"/>
    </row>
    <row r="874" spans="1:1" ht="15.75" customHeight="1" x14ac:dyDescent="0.25">
      <c r="A874" s="138"/>
    </row>
    <row r="875" spans="1:1" ht="15.75" customHeight="1" x14ac:dyDescent="0.25">
      <c r="A875" s="138"/>
    </row>
    <row r="876" spans="1:1" ht="15.75" customHeight="1" x14ac:dyDescent="0.25">
      <c r="A876" s="138"/>
    </row>
    <row r="877" spans="1:1" ht="15.75" customHeight="1" x14ac:dyDescent="0.25">
      <c r="A877" s="138"/>
    </row>
    <row r="878" spans="1:1" ht="15.75" customHeight="1" x14ac:dyDescent="0.25">
      <c r="A878" s="138"/>
    </row>
    <row r="879" spans="1:1" ht="15.75" customHeight="1" x14ac:dyDescent="0.25">
      <c r="A879" s="138"/>
    </row>
    <row r="880" spans="1:1" ht="15.75" customHeight="1" x14ac:dyDescent="0.25">
      <c r="A880" s="138"/>
    </row>
    <row r="881" spans="1:1" ht="15.75" customHeight="1" x14ac:dyDescent="0.25">
      <c r="A881" s="138"/>
    </row>
    <row r="882" spans="1:1" ht="15.75" customHeight="1" x14ac:dyDescent="0.25">
      <c r="A882" s="138"/>
    </row>
    <row r="883" spans="1:1" ht="15.75" customHeight="1" x14ac:dyDescent="0.25">
      <c r="A883" s="138"/>
    </row>
    <row r="884" spans="1:1" ht="15.75" customHeight="1" x14ac:dyDescent="0.25">
      <c r="A884" s="138"/>
    </row>
    <row r="885" spans="1:1" ht="15.75" customHeight="1" x14ac:dyDescent="0.25">
      <c r="A885" s="138"/>
    </row>
    <row r="886" spans="1:1" ht="15.75" customHeight="1" x14ac:dyDescent="0.25">
      <c r="A886" s="138"/>
    </row>
    <row r="887" spans="1:1" ht="15.75" customHeight="1" x14ac:dyDescent="0.25">
      <c r="A887" s="138"/>
    </row>
    <row r="888" spans="1:1" ht="15.75" customHeight="1" x14ac:dyDescent="0.25">
      <c r="A888" s="138"/>
    </row>
    <row r="889" spans="1:1" ht="15.75" customHeight="1" x14ac:dyDescent="0.25">
      <c r="A889" s="138"/>
    </row>
    <row r="890" spans="1:1" ht="15.75" customHeight="1" x14ac:dyDescent="0.25">
      <c r="A890" s="138"/>
    </row>
    <row r="891" spans="1:1" ht="15.75" customHeight="1" x14ac:dyDescent="0.25">
      <c r="A891" s="138"/>
    </row>
    <row r="892" spans="1:1" ht="15.75" customHeight="1" x14ac:dyDescent="0.25">
      <c r="A892" s="138"/>
    </row>
    <row r="893" spans="1:1" ht="15.75" customHeight="1" x14ac:dyDescent="0.25">
      <c r="A893" s="138"/>
    </row>
    <row r="894" spans="1:1" ht="15.75" customHeight="1" x14ac:dyDescent="0.25">
      <c r="A894" s="138"/>
    </row>
    <row r="895" spans="1:1" ht="15.75" customHeight="1" x14ac:dyDescent="0.25">
      <c r="A895" s="138"/>
    </row>
    <row r="896" spans="1:1" ht="15.75" customHeight="1" x14ac:dyDescent="0.25">
      <c r="A896" s="138"/>
    </row>
    <row r="897" spans="1:1" ht="15.75" customHeight="1" x14ac:dyDescent="0.25">
      <c r="A897" s="138"/>
    </row>
    <row r="898" spans="1:1" ht="15.75" customHeight="1" x14ac:dyDescent="0.25">
      <c r="A898" s="138"/>
    </row>
    <row r="899" spans="1:1" ht="15.75" customHeight="1" x14ac:dyDescent="0.25">
      <c r="A899" s="138"/>
    </row>
    <row r="900" spans="1:1" ht="15.75" customHeight="1" x14ac:dyDescent="0.25">
      <c r="A900" s="138"/>
    </row>
    <row r="901" spans="1:1" ht="15.75" customHeight="1" x14ac:dyDescent="0.25">
      <c r="A901" s="138"/>
    </row>
    <row r="902" spans="1:1" ht="15.75" customHeight="1" x14ac:dyDescent="0.25">
      <c r="A902" s="138"/>
    </row>
    <row r="903" spans="1:1" ht="15.75" customHeight="1" x14ac:dyDescent="0.25">
      <c r="A903" s="138"/>
    </row>
    <row r="904" spans="1:1" ht="15.75" customHeight="1" x14ac:dyDescent="0.25">
      <c r="A904" s="138"/>
    </row>
    <row r="905" spans="1:1" ht="15.75" customHeight="1" x14ac:dyDescent="0.25">
      <c r="A905" s="138"/>
    </row>
    <row r="906" spans="1:1" ht="15.75" customHeight="1" x14ac:dyDescent="0.25">
      <c r="A906" s="138"/>
    </row>
    <row r="907" spans="1:1" ht="15.75" customHeight="1" x14ac:dyDescent="0.25">
      <c r="A907" s="138"/>
    </row>
    <row r="908" spans="1:1" ht="15.75" customHeight="1" x14ac:dyDescent="0.25">
      <c r="A908" s="138"/>
    </row>
    <row r="909" spans="1:1" ht="15.75" customHeight="1" x14ac:dyDescent="0.25">
      <c r="A909" s="138"/>
    </row>
    <row r="910" spans="1:1" ht="15.75" customHeight="1" x14ac:dyDescent="0.25">
      <c r="A910" s="138"/>
    </row>
    <row r="911" spans="1:1" ht="15.75" customHeight="1" x14ac:dyDescent="0.25">
      <c r="A911" s="138"/>
    </row>
    <row r="912" spans="1:1" ht="15.75" customHeight="1" x14ac:dyDescent="0.25">
      <c r="A912" s="138"/>
    </row>
    <row r="913" spans="1:1" ht="15.75" customHeight="1" x14ac:dyDescent="0.25">
      <c r="A913" s="138"/>
    </row>
    <row r="914" spans="1:1" ht="15.75" customHeight="1" x14ac:dyDescent="0.25">
      <c r="A914" s="138"/>
    </row>
    <row r="915" spans="1:1" ht="15.75" customHeight="1" x14ac:dyDescent="0.25">
      <c r="A915" s="138"/>
    </row>
    <row r="916" spans="1:1" ht="15.75" customHeight="1" x14ac:dyDescent="0.25">
      <c r="A916" s="138"/>
    </row>
    <row r="917" spans="1:1" ht="15.75" customHeight="1" x14ac:dyDescent="0.25">
      <c r="A917" s="138"/>
    </row>
    <row r="918" spans="1:1" ht="15.75" customHeight="1" x14ac:dyDescent="0.25">
      <c r="A918" s="138"/>
    </row>
    <row r="919" spans="1:1" ht="15.75" customHeight="1" x14ac:dyDescent="0.25">
      <c r="A919" s="138"/>
    </row>
    <row r="920" spans="1:1" ht="15.75" customHeight="1" x14ac:dyDescent="0.25">
      <c r="A920" s="138"/>
    </row>
    <row r="921" spans="1:1" ht="15.75" customHeight="1" x14ac:dyDescent="0.25">
      <c r="A921" s="138"/>
    </row>
    <row r="922" spans="1:1" ht="15.75" customHeight="1" x14ac:dyDescent="0.25">
      <c r="A922" s="138"/>
    </row>
    <row r="923" spans="1:1" ht="15.75" customHeight="1" x14ac:dyDescent="0.25">
      <c r="A923" s="138"/>
    </row>
    <row r="924" spans="1:1" ht="15.75" customHeight="1" x14ac:dyDescent="0.25">
      <c r="A924" s="138"/>
    </row>
    <row r="925" spans="1:1" ht="15.75" customHeight="1" x14ac:dyDescent="0.25">
      <c r="A925" s="138"/>
    </row>
    <row r="926" spans="1:1" ht="15.75" customHeight="1" x14ac:dyDescent="0.25">
      <c r="A926" s="138"/>
    </row>
    <row r="927" spans="1:1" ht="15.75" customHeight="1" x14ac:dyDescent="0.25">
      <c r="A927" s="138"/>
    </row>
    <row r="928" spans="1:1" ht="15.75" customHeight="1" x14ac:dyDescent="0.25">
      <c r="A928" s="138"/>
    </row>
    <row r="929" spans="1:1" ht="15.75" customHeight="1" x14ac:dyDescent="0.25">
      <c r="A929" s="138"/>
    </row>
    <row r="930" spans="1:1" ht="15.75" customHeight="1" x14ac:dyDescent="0.25">
      <c r="A930" s="138"/>
    </row>
    <row r="931" spans="1:1" ht="15.75" customHeight="1" x14ac:dyDescent="0.25">
      <c r="A931" s="138"/>
    </row>
    <row r="932" spans="1:1" ht="15.75" customHeight="1" x14ac:dyDescent="0.25">
      <c r="A932" s="138"/>
    </row>
    <row r="933" spans="1:1" ht="15.75" customHeight="1" x14ac:dyDescent="0.25">
      <c r="A933" s="138"/>
    </row>
    <row r="934" spans="1:1" ht="15.75" customHeight="1" x14ac:dyDescent="0.25">
      <c r="A934" s="138"/>
    </row>
    <row r="935" spans="1:1" ht="15.75" customHeight="1" x14ac:dyDescent="0.25">
      <c r="A935" s="138"/>
    </row>
    <row r="936" spans="1:1" ht="15.75" customHeight="1" x14ac:dyDescent="0.25">
      <c r="A936" s="138"/>
    </row>
    <row r="937" spans="1:1" ht="15.75" customHeight="1" x14ac:dyDescent="0.25">
      <c r="A937" s="138"/>
    </row>
    <row r="938" spans="1:1" ht="15.75" customHeight="1" x14ac:dyDescent="0.25">
      <c r="A938" s="138"/>
    </row>
    <row r="939" spans="1:1" ht="15.75" customHeight="1" x14ac:dyDescent="0.25">
      <c r="A939" s="138"/>
    </row>
    <row r="940" spans="1:1" ht="15.75" customHeight="1" x14ac:dyDescent="0.25">
      <c r="A940" s="138"/>
    </row>
    <row r="941" spans="1:1" ht="15.75" customHeight="1" x14ac:dyDescent="0.25">
      <c r="A941" s="138"/>
    </row>
    <row r="942" spans="1:1" ht="15.75" customHeight="1" x14ac:dyDescent="0.25">
      <c r="A942" s="138"/>
    </row>
    <row r="943" spans="1:1" ht="15.75" customHeight="1" x14ac:dyDescent="0.25">
      <c r="A943" s="138"/>
    </row>
    <row r="944" spans="1:1" ht="15.75" customHeight="1" x14ac:dyDescent="0.25">
      <c r="A944" s="138"/>
    </row>
    <row r="945" spans="1:1" ht="15.75" customHeight="1" x14ac:dyDescent="0.25">
      <c r="A945" s="138"/>
    </row>
    <row r="946" spans="1:1" ht="15.75" customHeight="1" x14ac:dyDescent="0.25">
      <c r="A946" s="138"/>
    </row>
    <row r="947" spans="1:1" ht="15.75" customHeight="1" x14ac:dyDescent="0.25">
      <c r="A947" s="138"/>
    </row>
    <row r="948" spans="1:1" ht="15.75" customHeight="1" x14ac:dyDescent="0.25">
      <c r="A948" s="138"/>
    </row>
    <row r="949" spans="1:1" ht="15.75" customHeight="1" x14ac:dyDescent="0.25">
      <c r="A949" s="138"/>
    </row>
    <row r="950" spans="1:1" ht="15.75" customHeight="1" x14ac:dyDescent="0.25">
      <c r="A950" s="138"/>
    </row>
    <row r="951" spans="1:1" ht="15.75" customHeight="1" x14ac:dyDescent="0.25">
      <c r="A951" s="138"/>
    </row>
    <row r="952" spans="1:1" ht="15.75" customHeight="1" x14ac:dyDescent="0.25">
      <c r="A952" s="138"/>
    </row>
    <row r="953" spans="1:1" ht="15.75" customHeight="1" x14ac:dyDescent="0.25">
      <c r="A953" s="138"/>
    </row>
    <row r="954" spans="1:1" ht="15.75" customHeight="1" x14ac:dyDescent="0.25">
      <c r="A954" s="138"/>
    </row>
    <row r="955" spans="1:1" ht="15.75" customHeight="1" x14ac:dyDescent="0.25">
      <c r="A955" s="138"/>
    </row>
    <row r="956" spans="1:1" ht="15.75" customHeight="1" x14ac:dyDescent="0.25">
      <c r="A956" s="138"/>
    </row>
    <row r="957" spans="1:1" ht="15.75" customHeight="1" x14ac:dyDescent="0.25">
      <c r="A957" s="138"/>
    </row>
    <row r="958" spans="1:1" ht="15.75" customHeight="1" x14ac:dyDescent="0.25">
      <c r="A958" s="138"/>
    </row>
    <row r="959" spans="1:1" ht="15.75" customHeight="1" x14ac:dyDescent="0.25">
      <c r="A959" s="138"/>
    </row>
    <row r="960" spans="1:1" ht="15.75" customHeight="1" x14ac:dyDescent="0.25">
      <c r="A960" s="138"/>
    </row>
    <row r="961" spans="1:1" ht="15.75" customHeight="1" x14ac:dyDescent="0.25">
      <c r="A961" s="138"/>
    </row>
    <row r="962" spans="1:1" ht="15.75" customHeight="1" x14ac:dyDescent="0.25">
      <c r="A962" s="138"/>
    </row>
    <row r="963" spans="1:1" ht="15.75" customHeight="1" x14ac:dyDescent="0.25">
      <c r="A963" s="138"/>
    </row>
    <row r="964" spans="1:1" ht="15.75" customHeight="1" x14ac:dyDescent="0.25">
      <c r="A964" s="138"/>
    </row>
    <row r="965" spans="1:1" ht="15.75" customHeight="1" x14ac:dyDescent="0.25">
      <c r="A965" s="138"/>
    </row>
    <row r="966" spans="1:1" ht="15.75" customHeight="1" x14ac:dyDescent="0.25">
      <c r="A966" s="138"/>
    </row>
    <row r="967" spans="1:1" ht="15.75" customHeight="1" x14ac:dyDescent="0.25">
      <c r="A967" s="138"/>
    </row>
    <row r="968" spans="1:1" ht="15.75" customHeight="1" x14ac:dyDescent="0.25">
      <c r="A968" s="138"/>
    </row>
    <row r="969" spans="1:1" ht="15.75" customHeight="1" x14ac:dyDescent="0.25">
      <c r="A969" s="138"/>
    </row>
    <row r="970" spans="1:1" ht="15.75" customHeight="1" x14ac:dyDescent="0.25">
      <c r="A970" s="138"/>
    </row>
    <row r="971" spans="1:1" ht="15.75" customHeight="1" x14ac:dyDescent="0.25">
      <c r="A971" s="138"/>
    </row>
    <row r="972" spans="1:1" ht="15.75" customHeight="1" x14ac:dyDescent="0.25">
      <c r="A972" s="138"/>
    </row>
    <row r="973" spans="1:1" ht="15.75" customHeight="1" x14ac:dyDescent="0.25">
      <c r="A973" s="138"/>
    </row>
    <row r="974" spans="1:1" ht="15.75" customHeight="1" x14ac:dyDescent="0.25">
      <c r="A974" s="138"/>
    </row>
    <row r="975" spans="1:1" ht="15.75" customHeight="1" x14ac:dyDescent="0.25">
      <c r="A975" s="138"/>
    </row>
    <row r="976" spans="1:1" ht="15.75" customHeight="1" x14ac:dyDescent="0.25">
      <c r="A976" s="138"/>
    </row>
    <row r="977" spans="1:1" ht="15.75" customHeight="1" x14ac:dyDescent="0.25">
      <c r="A977" s="138"/>
    </row>
    <row r="978" spans="1:1" ht="15.75" customHeight="1" x14ac:dyDescent="0.25">
      <c r="A978" s="138"/>
    </row>
    <row r="979" spans="1:1" ht="15.75" customHeight="1" x14ac:dyDescent="0.25">
      <c r="A979" s="138"/>
    </row>
    <row r="980" spans="1:1" ht="15.75" customHeight="1" x14ac:dyDescent="0.25">
      <c r="A980" s="138"/>
    </row>
    <row r="981" spans="1:1" ht="15.75" customHeight="1" x14ac:dyDescent="0.25">
      <c r="A981" s="138"/>
    </row>
    <row r="982" spans="1:1" ht="15.75" customHeight="1" x14ac:dyDescent="0.25">
      <c r="A982" s="138"/>
    </row>
    <row r="983" spans="1:1" ht="15.75" customHeight="1" x14ac:dyDescent="0.25">
      <c r="A983" s="138"/>
    </row>
    <row r="984" spans="1:1" ht="15.75" customHeight="1" x14ac:dyDescent="0.25">
      <c r="A984" s="138"/>
    </row>
    <row r="985" spans="1:1" ht="15.75" customHeight="1" x14ac:dyDescent="0.25">
      <c r="A985" s="138"/>
    </row>
    <row r="986" spans="1:1" ht="15.75" customHeight="1" x14ac:dyDescent="0.25">
      <c r="A986" s="138"/>
    </row>
    <row r="987" spans="1:1" ht="15.75" customHeight="1" x14ac:dyDescent="0.25">
      <c r="A987" s="138"/>
    </row>
    <row r="988" spans="1:1" ht="15.75" customHeight="1" x14ac:dyDescent="0.25">
      <c r="A988" s="138"/>
    </row>
    <row r="989" spans="1:1" ht="15.75" customHeight="1" x14ac:dyDescent="0.25">
      <c r="A989" s="138"/>
    </row>
    <row r="990" spans="1:1" ht="15.75" customHeight="1" x14ac:dyDescent="0.25">
      <c r="A990" s="138"/>
    </row>
    <row r="991" spans="1:1" ht="15.75" customHeight="1" x14ac:dyDescent="0.25">
      <c r="A991" s="138"/>
    </row>
    <row r="992" spans="1:1" ht="15.75" customHeight="1" x14ac:dyDescent="0.25">
      <c r="A992" s="138"/>
    </row>
    <row r="993" spans="1:1" ht="15.75" customHeight="1" x14ac:dyDescent="0.25">
      <c r="A993" s="138"/>
    </row>
    <row r="994" spans="1:1" ht="15.75" customHeight="1" x14ac:dyDescent="0.25">
      <c r="A994" s="138"/>
    </row>
    <row r="995" spans="1:1" ht="15.75" customHeight="1" x14ac:dyDescent="0.25">
      <c r="A995" s="138"/>
    </row>
    <row r="996" spans="1:1" ht="15.75" customHeight="1" x14ac:dyDescent="0.25">
      <c r="A996" s="138"/>
    </row>
    <row r="997" spans="1:1" ht="15.75" customHeight="1" x14ac:dyDescent="0.25">
      <c r="A997" s="138"/>
    </row>
  </sheetData>
  <mergeCells count="20">
    <mergeCell ref="G42:M42"/>
    <mergeCell ref="G66:M67"/>
    <mergeCell ref="B43:D43"/>
    <mergeCell ref="B50:C50"/>
    <mergeCell ref="B61:H61"/>
    <mergeCell ref="B22:C22"/>
    <mergeCell ref="B23:C23"/>
    <mergeCell ref="G23:M23"/>
    <mergeCell ref="G37:M38"/>
    <mergeCell ref="B30:C30"/>
    <mergeCell ref="B24:D24"/>
    <mergeCell ref="B20:C20"/>
    <mergeCell ref="B21:C21"/>
    <mergeCell ref="A1:M1"/>
    <mergeCell ref="A3:M3"/>
    <mergeCell ref="G6:M6"/>
    <mergeCell ref="B7:D7"/>
    <mergeCell ref="B5:N5"/>
    <mergeCell ref="B17:C17"/>
    <mergeCell ref="B19:C19"/>
  </mergeCells>
  <pageMargins left="0.7" right="0.7" top="0.75" bottom="0.75" header="0" footer="0"/>
  <pageSetup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Enero24</vt:lpstr>
      <vt:lpstr>Febrero24</vt:lpstr>
      <vt:lpstr>Marzo24</vt:lpstr>
      <vt:lpstr>Abril24</vt:lpstr>
      <vt:lpstr>Mayo24</vt:lpstr>
      <vt:lpstr>Junio24</vt:lpstr>
      <vt:lpstr>Julio24</vt:lpstr>
      <vt:lpstr>Agosto24</vt:lpstr>
      <vt:lpstr>Septiembre24</vt:lpstr>
      <vt:lpstr>Octubre24</vt:lpstr>
      <vt:lpstr>Noviembre24</vt:lpstr>
      <vt:lpstr>Diciembre24</vt:lpstr>
    </vt:vector>
  </TitlesOfParts>
  <Company>GP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cpu</dc:creator>
  <cp:lastModifiedBy>Cano Maldonado Jair Benjamin</cp:lastModifiedBy>
  <cp:lastPrinted>2022-05-19T21:02:50Z</cp:lastPrinted>
  <dcterms:created xsi:type="dcterms:W3CDTF">2018-02-21T05:25:03Z</dcterms:created>
  <dcterms:modified xsi:type="dcterms:W3CDTF">2025-01-21T20:17:20Z</dcterms:modified>
</cp:coreProperties>
</file>