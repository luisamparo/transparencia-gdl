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18915" windowHeight="11130" activeTab="11"/>
  </bookViews>
  <sheets>
    <sheet name="Enero21" sheetId="1" r:id="rId1"/>
    <sheet name="Febrero21" sheetId="2" r:id="rId2"/>
    <sheet name="Marzo21" sheetId="3" r:id="rId3"/>
    <sheet name="Abril21" sheetId="4" r:id="rId4"/>
    <sheet name="Mayo21" sheetId="5" r:id="rId5"/>
    <sheet name="Junio21" sheetId="6" r:id="rId6"/>
    <sheet name="Julio21" sheetId="7" r:id="rId7"/>
    <sheet name="Agosto21" sheetId="8" r:id="rId8"/>
    <sheet name="Septiembre21" sheetId="9" r:id="rId9"/>
    <sheet name="Octubre21" sheetId="10" r:id="rId10"/>
    <sheet name="Noviembre21" sheetId="12" r:id="rId11"/>
    <sheet name="Diciembre21" sheetId="13" r:id="rId12"/>
  </sheets>
  <calcPr calcId="145621"/>
</workbook>
</file>

<file path=xl/calcChain.xml><?xml version="1.0" encoding="utf-8"?>
<calcChain xmlns="http://schemas.openxmlformats.org/spreadsheetml/2006/main">
  <c r="D15" i="13" l="1"/>
  <c r="D22" i="13"/>
  <c r="D31" i="13"/>
  <c r="D47" i="13"/>
  <c r="D62" i="13"/>
  <c r="D15" i="12" l="1"/>
  <c r="D22" i="12"/>
  <c r="D31" i="12"/>
  <c r="D47" i="12"/>
  <c r="D62" i="12"/>
  <c r="D15" i="10" l="1"/>
  <c r="D22" i="10"/>
  <c r="D31" i="10"/>
  <c r="D50" i="10"/>
  <c r="D69" i="10"/>
  <c r="D15" i="9" l="1"/>
  <c r="D22" i="9"/>
  <c r="D31" i="9"/>
  <c r="D50" i="9"/>
  <c r="D70" i="9"/>
  <c r="D16" i="8" l="1"/>
  <c r="D23" i="8"/>
  <c r="D32" i="8"/>
  <c r="D51" i="8"/>
  <c r="D71" i="8"/>
  <c r="D16" i="7" l="1"/>
  <c r="D23" i="7"/>
  <c r="D32" i="7"/>
  <c r="D51" i="7"/>
  <c r="D71" i="7"/>
  <c r="D16" i="6" l="1"/>
  <c r="D23" i="6"/>
  <c r="D32" i="6"/>
  <c r="D51" i="6"/>
  <c r="D71" i="6"/>
  <c r="D16" i="5" l="1"/>
  <c r="D23" i="5"/>
  <c r="D32" i="5"/>
  <c r="D51" i="5"/>
  <c r="D71" i="5"/>
  <c r="D16" i="4" l="1"/>
  <c r="D23" i="4"/>
  <c r="D32" i="4"/>
  <c r="D51" i="4"/>
  <c r="D71" i="4"/>
  <c r="D16" i="3" l="1"/>
  <c r="D23" i="3"/>
  <c r="D32" i="3"/>
  <c r="D51" i="3"/>
  <c r="D71" i="3"/>
  <c r="D16" i="2" l="1"/>
  <c r="D23" i="2"/>
  <c r="D32" i="2"/>
  <c r="D51" i="2"/>
  <c r="D71" i="2"/>
  <c r="D51" i="1" l="1"/>
  <c r="D16" i="1" l="1"/>
  <c r="D23" i="1"/>
  <c r="D32" i="1" l="1"/>
  <c r="D71" i="1" l="1"/>
</calcChain>
</file>

<file path=xl/sharedStrings.xml><?xml version="1.0" encoding="utf-8"?>
<sst xmlns="http://schemas.openxmlformats.org/spreadsheetml/2006/main" count="629" uniqueCount="68">
  <si>
    <t>DIRECCIÓN DE TRANSPARENCIA Y BUENAS PRÁCTICAS DEL GOBIERNO DE GUADALAJARA</t>
  </si>
  <si>
    <t>Afirmativa</t>
  </si>
  <si>
    <t>Negativa</t>
  </si>
  <si>
    <t>Acuerdos de no competencia</t>
  </si>
  <si>
    <t>Prevenciones</t>
  </si>
  <si>
    <t xml:space="preserve">Fundamental        </t>
  </si>
  <si>
    <t xml:space="preserve">Reservada              </t>
  </si>
  <si>
    <t xml:space="preserve">Confidencial            </t>
  </si>
  <si>
    <t>Tipo de respuesta</t>
  </si>
  <si>
    <t>Tipo de información</t>
  </si>
  <si>
    <t>Personales</t>
  </si>
  <si>
    <t>Electrónicas</t>
  </si>
  <si>
    <t>Estrados</t>
  </si>
  <si>
    <t>Medios de Acceso a la Información</t>
  </si>
  <si>
    <t>En la respuesta</t>
  </si>
  <si>
    <t>Consulta directa personal</t>
  </si>
  <si>
    <t>Consulta directa electrónica</t>
  </si>
  <si>
    <t>Reproducción de documentos</t>
  </si>
  <si>
    <t>Elaboración de informes</t>
  </si>
  <si>
    <t>Combinación de las anteriores</t>
  </si>
  <si>
    <t>Clasificación</t>
  </si>
  <si>
    <t>Tabla número 1.0</t>
  </si>
  <si>
    <t>Gráfica número 1.0</t>
  </si>
  <si>
    <t>Nota: Elaboración propia con datos del control de registro de solicitudes 2018.</t>
  </si>
  <si>
    <t>Total</t>
  </si>
  <si>
    <t>Tabla número 2.0</t>
  </si>
  <si>
    <t>Gráfica número 2.0</t>
  </si>
  <si>
    <t>Tabla número 3.0</t>
  </si>
  <si>
    <t>Gráfica número 3.0</t>
  </si>
  <si>
    <t>Tabla número 4.0</t>
  </si>
  <si>
    <t>Gráfica número 4.0</t>
  </si>
  <si>
    <t>Afirmativa parcial</t>
  </si>
  <si>
    <t>Ordinaria y de libre acceso</t>
  </si>
  <si>
    <t>Correo electrónico</t>
  </si>
  <si>
    <t>Telefónica</t>
  </si>
  <si>
    <t xml:space="preserve">Total de solicitudes </t>
  </si>
  <si>
    <t xml:space="preserve">Acuerdo de no competencia </t>
  </si>
  <si>
    <t xml:space="preserve">Total </t>
  </si>
  <si>
    <t>Canceladas</t>
  </si>
  <si>
    <t>Derecho ARCO</t>
  </si>
  <si>
    <t>Remitida ITEI</t>
  </si>
  <si>
    <t>Prevenciones (No respondio)</t>
  </si>
  <si>
    <t xml:space="preserve">       INFORMACIÓN ESTADÍSTICA - ENERO  2021                                                                                                                         </t>
  </si>
  <si>
    <t>Solicitudes del mes de ENERO de 2021</t>
  </si>
  <si>
    <t>Nota: Elaboración propia con datos del control de registro de solicitudes 2021.</t>
  </si>
  <si>
    <t>Solicitudes del mes de FEBRERO de 2021</t>
  </si>
  <si>
    <t xml:space="preserve">       INFORMACIÓN ESTADÍSTICA - FEBRERO  2021                                                                                                                         </t>
  </si>
  <si>
    <t>Solicitudes del mes de MARZO de 2021</t>
  </si>
  <si>
    <t xml:space="preserve">       INFORMACIÓN ESTADÍSTICA - MARZO  2021                                                                                                                         </t>
  </si>
  <si>
    <t>Solicitudes del mes de ABRIL de 2021</t>
  </si>
  <si>
    <t xml:space="preserve">       INFORMACIÓN ESTADÍSTICA - ABRIL  2021                                                                                                                         </t>
  </si>
  <si>
    <t>Solicitudes del mes de MAYO de 2021</t>
  </si>
  <si>
    <t xml:space="preserve">       INFORMACIÓN ESTADÍSTICA - MAYO  2021                                                                                                                         </t>
  </si>
  <si>
    <t>Solicitudes del mes de JUNIO de 2021</t>
  </si>
  <si>
    <t xml:space="preserve">       INFORMACIÓN ESTADÍSTICA - JUNIO  2021                                                                                                                         </t>
  </si>
  <si>
    <t>Solicitudes del mes de JULIO de 2021</t>
  </si>
  <si>
    <t xml:space="preserve">       INFORMACIÓN ESTADÍSTICA - JULIO  2021                                                                                                                         </t>
  </si>
  <si>
    <t>Solicitudes del mes de AGOSTO de 2021</t>
  </si>
  <si>
    <t xml:space="preserve">       INFORMACIÓN ESTADÍSTICA - AGOSTO  2021                                                                                                                         </t>
  </si>
  <si>
    <t>Solicitudes del mes de SEPTIEMBRE de 2021</t>
  </si>
  <si>
    <t xml:space="preserve">       INFORMACIÓN ESTADÍSTICA - SEPTIEMBRE  2021                                                                                                                         </t>
  </si>
  <si>
    <t>Solicitudes del mes de OCTUBRE de 2021</t>
  </si>
  <si>
    <t xml:space="preserve">       INFORMACIÓN ESTADÍSTICA - OCTUBRE  2021                                                                                                                         </t>
  </si>
  <si>
    <t>Solicitudes del mes de NOVIEMBRE de 2021</t>
  </si>
  <si>
    <t xml:space="preserve">       INFORMACIÓN ESTADÍSTICA - NOVIEMBRE  2021                                                                                                                         </t>
  </si>
  <si>
    <t>Nota: Elaboración propia con datos del control de registro de solicitudes 2021. Corresponden a la suma de solicitudes Afirmativa y Afirmativa parcial</t>
  </si>
  <si>
    <t>Solicitudes del mes de DICIEMBRE de 2021</t>
  </si>
  <si>
    <t xml:space="preserve">       INFORMACIÓN ESTADÍSTICA - DICIEMBRE  2021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</si>
</sst>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8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Enero21!$C$8:$C$15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Remitida ITEI</c:v>
                </c:pt>
              </c:strCache>
            </c:strRef>
          </c:cat>
          <c:val>
            <c:numRef>
              <c:f>Enero21!$D$8:$D$15</c:f>
              <c:numCache>
                <c:formatCode>General</c:formatCode>
                <c:ptCount val="8"/>
                <c:pt idx="0">
                  <c:v>349</c:v>
                </c:pt>
                <c:pt idx="1">
                  <c:v>287</c:v>
                </c:pt>
                <c:pt idx="2">
                  <c:v>82</c:v>
                </c:pt>
                <c:pt idx="3">
                  <c:v>16</c:v>
                </c:pt>
                <c:pt idx="4">
                  <c:v>85</c:v>
                </c:pt>
                <c:pt idx="5" formatCode="0">
                  <c:v>0</c:v>
                </c:pt>
                <c:pt idx="6">
                  <c:v>11</c:v>
                </c:pt>
                <c:pt idx="7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2556672"/>
        <c:axId val="172815104"/>
      </c:barChart>
      <c:catAx>
        <c:axId val="17255667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2815104"/>
        <c:crosses val="autoZero"/>
        <c:auto val="1"/>
        <c:lblAlgn val="ctr"/>
        <c:lblOffset val="100"/>
        <c:noMultiLvlLbl val="0"/>
      </c:catAx>
      <c:valAx>
        <c:axId val="1728151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255667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Enero21!$C$28:$C$31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Enero21!$D$28:$D$31</c:f>
              <c:numCache>
                <c:formatCode>General</c:formatCode>
                <c:ptCount val="4"/>
                <c:pt idx="0">
                  <c:v>7</c:v>
                </c:pt>
                <c:pt idx="1">
                  <c:v>689</c:v>
                </c:pt>
                <c:pt idx="2">
                  <c:v>2</c:v>
                </c:pt>
                <c:pt idx="3">
                  <c:v>26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23936"/>
        <c:axId val="60025472"/>
      </c:barChart>
      <c:catAx>
        <c:axId val="60023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60025472"/>
        <c:crosses val="autoZero"/>
        <c:auto val="1"/>
        <c:lblAlgn val="r"/>
        <c:lblOffset val="100"/>
        <c:noMultiLvlLbl val="0"/>
      </c:catAx>
      <c:valAx>
        <c:axId val="600254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023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Enero21!$C$46:$C$50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Enero21!$D$46:$D$50</c:f>
              <c:numCache>
                <c:formatCode>General</c:formatCode>
                <c:ptCount val="5"/>
                <c:pt idx="0">
                  <c:v>3</c:v>
                </c:pt>
                <c:pt idx="1">
                  <c:v>611</c:v>
                </c:pt>
                <c:pt idx="2">
                  <c:v>0</c:v>
                </c:pt>
                <c:pt idx="3">
                  <c:v>110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37760"/>
        <c:axId val="60043648"/>
      </c:barChart>
      <c:catAx>
        <c:axId val="60037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043648"/>
        <c:crosses val="autoZero"/>
        <c:auto val="1"/>
        <c:lblAlgn val="ctr"/>
        <c:lblOffset val="100"/>
        <c:noMultiLvlLbl val="0"/>
      </c:catAx>
      <c:valAx>
        <c:axId val="60043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0377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Enero21!$C$65:$C$70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Enero21!$D$65:$D$70</c:f>
              <c:numCache>
                <c:formatCode>General</c:formatCode>
                <c:ptCount val="6"/>
                <c:pt idx="0">
                  <c:v>605</c:v>
                </c:pt>
                <c:pt idx="1">
                  <c:v>0</c:v>
                </c:pt>
                <c:pt idx="2">
                  <c:v>2</c:v>
                </c:pt>
                <c:pt idx="3">
                  <c:v>117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049280"/>
        <c:axId val="60050816"/>
      </c:barChart>
      <c:catAx>
        <c:axId val="60049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050816"/>
        <c:crosses val="autoZero"/>
        <c:auto val="1"/>
        <c:lblAlgn val="ctr"/>
        <c:lblOffset val="100"/>
        <c:noMultiLvlLbl val="0"/>
      </c:catAx>
      <c:valAx>
        <c:axId val="60050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049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Febrero21!$C$8:$C$15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Remitida ITEI</c:v>
                </c:pt>
              </c:strCache>
            </c:strRef>
          </c:cat>
          <c:val>
            <c:numRef>
              <c:f>Febrero21!$D$8:$D$15</c:f>
              <c:numCache>
                <c:formatCode>General</c:formatCode>
                <c:ptCount val="8"/>
                <c:pt idx="0">
                  <c:v>237</c:v>
                </c:pt>
                <c:pt idx="1">
                  <c:v>247</c:v>
                </c:pt>
                <c:pt idx="2">
                  <c:v>95</c:v>
                </c:pt>
                <c:pt idx="3">
                  <c:v>3</c:v>
                </c:pt>
                <c:pt idx="4">
                  <c:v>59</c:v>
                </c:pt>
                <c:pt idx="5" formatCode="0">
                  <c:v>0</c:v>
                </c:pt>
                <c:pt idx="6">
                  <c:v>16</c:v>
                </c:pt>
                <c:pt idx="7">
                  <c:v>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0075008"/>
        <c:axId val="60094336"/>
      </c:barChart>
      <c:catAx>
        <c:axId val="60075008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60094336"/>
        <c:crosses val="autoZero"/>
        <c:auto val="1"/>
        <c:lblAlgn val="ctr"/>
        <c:lblOffset val="100"/>
        <c:noMultiLvlLbl val="0"/>
      </c:catAx>
      <c:valAx>
        <c:axId val="600943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07500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Febrero21!$C$28:$C$31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Febrero21!$D$28:$D$31</c:f>
              <c:numCache>
                <c:formatCode>General</c:formatCode>
                <c:ptCount val="4"/>
                <c:pt idx="0">
                  <c:v>9</c:v>
                </c:pt>
                <c:pt idx="1">
                  <c:v>557</c:v>
                </c:pt>
                <c:pt idx="2">
                  <c:v>0</c:v>
                </c:pt>
                <c:pt idx="3">
                  <c:v>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098880"/>
        <c:axId val="173100416"/>
      </c:barChart>
      <c:catAx>
        <c:axId val="173098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3100416"/>
        <c:crosses val="autoZero"/>
        <c:auto val="1"/>
        <c:lblAlgn val="r"/>
        <c:lblOffset val="100"/>
        <c:noMultiLvlLbl val="0"/>
      </c:catAx>
      <c:valAx>
        <c:axId val="1731004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3098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Febrero21!$C$46:$C$50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Febrero21!$D$46:$D$50</c:f>
              <c:numCache>
                <c:formatCode>General</c:formatCode>
                <c:ptCount val="5"/>
                <c:pt idx="0">
                  <c:v>1</c:v>
                </c:pt>
                <c:pt idx="1">
                  <c:v>430</c:v>
                </c:pt>
                <c:pt idx="2">
                  <c:v>0</c:v>
                </c:pt>
                <c:pt idx="3">
                  <c:v>234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137280"/>
        <c:axId val="173139072"/>
      </c:barChart>
      <c:catAx>
        <c:axId val="173137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3139072"/>
        <c:crosses val="autoZero"/>
        <c:auto val="1"/>
        <c:lblAlgn val="ctr"/>
        <c:lblOffset val="100"/>
        <c:noMultiLvlLbl val="0"/>
      </c:catAx>
      <c:valAx>
        <c:axId val="173139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31372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Febrero21!$C$65:$C$70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Febrero21!$D$65:$D$70</c:f>
              <c:numCache>
                <c:formatCode>General</c:formatCode>
                <c:ptCount val="6"/>
                <c:pt idx="0">
                  <c:v>365</c:v>
                </c:pt>
                <c:pt idx="1">
                  <c:v>0</c:v>
                </c:pt>
                <c:pt idx="2">
                  <c:v>1</c:v>
                </c:pt>
                <c:pt idx="3">
                  <c:v>221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339200"/>
        <c:axId val="174340736"/>
      </c:barChart>
      <c:catAx>
        <c:axId val="1743392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340736"/>
        <c:crosses val="autoZero"/>
        <c:auto val="1"/>
        <c:lblAlgn val="ctr"/>
        <c:lblOffset val="100"/>
        <c:noMultiLvlLbl val="0"/>
      </c:catAx>
      <c:valAx>
        <c:axId val="1743407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3392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Marzo21!$C$8:$C$15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Remitida ITEI</c:v>
                </c:pt>
              </c:strCache>
            </c:strRef>
          </c:cat>
          <c:val>
            <c:numRef>
              <c:f>Marzo21!$D$8:$D$15</c:f>
              <c:numCache>
                <c:formatCode>General</c:formatCode>
                <c:ptCount val="8"/>
                <c:pt idx="0">
                  <c:v>545</c:v>
                </c:pt>
                <c:pt idx="1">
                  <c:v>389</c:v>
                </c:pt>
                <c:pt idx="2">
                  <c:v>230</c:v>
                </c:pt>
                <c:pt idx="3">
                  <c:v>18</c:v>
                </c:pt>
                <c:pt idx="4">
                  <c:v>92</c:v>
                </c:pt>
                <c:pt idx="5" formatCode="0">
                  <c:v>0</c:v>
                </c:pt>
                <c:pt idx="6">
                  <c:v>15</c:v>
                </c:pt>
                <c:pt idx="7">
                  <c:v>10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4733568"/>
        <c:axId val="174744704"/>
      </c:barChart>
      <c:catAx>
        <c:axId val="174733568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4744704"/>
        <c:crosses val="autoZero"/>
        <c:auto val="1"/>
        <c:lblAlgn val="ctr"/>
        <c:lblOffset val="100"/>
        <c:noMultiLvlLbl val="0"/>
      </c:catAx>
      <c:valAx>
        <c:axId val="1747447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7335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Marzo21!$C$28:$C$31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Marzo21!$D$28:$D$31</c:f>
              <c:numCache>
                <c:formatCode>General</c:formatCode>
                <c:ptCount val="4"/>
                <c:pt idx="0">
                  <c:v>14</c:v>
                </c:pt>
                <c:pt idx="1">
                  <c:v>1160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753024"/>
        <c:axId val="60754560"/>
      </c:barChart>
      <c:catAx>
        <c:axId val="60753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60754560"/>
        <c:crosses val="autoZero"/>
        <c:auto val="1"/>
        <c:lblAlgn val="r"/>
        <c:lblOffset val="100"/>
        <c:noMultiLvlLbl val="0"/>
      </c:catAx>
      <c:valAx>
        <c:axId val="607545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753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Marzo21!$C$46:$C$50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Marzo21!$D$46:$D$50</c:f>
              <c:numCache>
                <c:formatCode>General</c:formatCode>
                <c:ptCount val="5"/>
                <c:pt idx="0">
                  <c:v>0</c:v>
                </c:pt>
                <c:pt idx="1">
                  <c:v>1062</c:v>
                </c:pt>
                <c:pt idx="2">
                  <c:v>0</c:v>
                </c:pt>
                <c:pt idx="3">
                  <c:v>237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896704"/>
        <c:axId val="59965824"/>
      </c:barChart>
      <c:catAx>
        <c:axId val="558967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9965824"/>
        <c:crosses val="autoZero"/>
        <c:auto val="1"/>
        <c:lblAlgn val="ctr"/>
        <c:lblOffset val="100"/>
        <c:noMultiLvlLbl val="0"/>
      </c:catAx>
      <c:valAx>
        <c:axId val="599658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589670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Marzo21!$C$65:$C$70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Marzo21!$D$65:$D$70</c:f>
              <c:numCache>
                <c:formatCode>General</c:formatCode>
                <c:ptCount val="6"/>
                <c:pt idx="0">
                  <c:v>838</c:v>
                </c:pt>
                <c:pt idx="1">
                  <c:v>0</c:v>
                </c:pt>
                <c:pt idx="2">
                  <c:v>0</c:v>
                </c:pt>
                <c:pt idx="3">
                  <c:v>336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01408"/>
        <c:axId val="60802944"/>
      </c:barChart>
      <c:catAx>
        <c:axId val="60801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802944"/>
        <c:crosses val="autoZero"/>
        <c:auto val="1"/>
        <c:lblAlgn val="ctr"/>
        <c:lblOffset val="100"/>
        <c:noMultiLvlLbl val="0"/>
      </c:catAx>
      <c:valAx>
        <c:axId val="608029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8014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Abril21!$C$8:$C$15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Remitida ITEI</c:v>
                </c:pt>
              </c:strCache>
            </c:strRef>
          </c:cat>
          <c:val>
            <c:numRef>
              <c:f>Abril21!$D$8:$D$15</c:f>
              <c:numCache>
                <c:formatCode>General</c:formatCode>
                <c:ptCount val="8"/>
                <c:pt idx="0">
                  <c:v>561</c:v>
                </c:pt>
                <c:pt idx="1">
                  <c:v>579</c:v>
                </c:pt>
                <c:pt idx="2">
                  <c:v>157</c:v>
                </c:pt>
                <c:pt idx="3">
                  <c:v>18</c:v>
                </c:pt>
                <c:pt idx="4">
                  <c:v>189</c:v>
                </c:pt>
                <c:pt idx="5" formatCode="0">
                  <c:v>0</c:v>
                </c:pt>
                <c:pt idx="6">
                  <c:v>4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0839424"/>
        <c:axId val="60871040"/>
      </c:barChart>
      <c:catAx>
        <c:axId val="6083942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60871040"/>
        <c:crosses val="autoZero"/>
        <c:auto val="1"/>
        <c:lblAlgn val="ctr"/>
        <c:lblOffset val="100"/>
        <c:noMultiLvlLbl val="0"/>
      </c:catAx>
      <c:valAx>
        <c:axId val="60871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0839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Abril21!$C$28:$C$31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Abril21!$D$28:$D$31</c:f>
              <c:numCache>
                <c:formatCode>General</c:formatCode>
                <c:ptCount val="4"/>
                <c:pt idx="0">
                  <c:v>38</c:v>
                </c:pt>
                <c:pt idx="1">
                  <c:v>1026</c:v>
                </c:pt>
                <c:pt idx="2">
                  <c:v>7</c:v>
                </c:pt>
                <c:pt idx="3">
                  <c:v>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91520"/>
        <c:axId val="60893056"/>
      </c:barChart>
      <c:catAx>
        <c:axId val="60891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60893056"/>
        <c:crosses val="autoZero"/>
        <c:auto val="1"/>
        <c:lblAlgn val="r"/>
        <c:lblOffset val="100"/>
        <c:noMultiLvlLbl val="0"/>
      </c:catAx>
      <c:valAx>
        <c:axId val="608930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891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Abril21!$C$46:$C$50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Abril21!$D$46:$D$50</c:f>
              <c:numCache>
                <c:formatCode>General</c:formatCode>
                <c:ptCount val="5"/>
                <c:pt idx="0">
                  <c:v>12</c:v>
                </c:pt>
                <c:pt idx="1">
                  <c:v>1324</c:v>
                </c:pt>
                <c:pt idx="2">
                  <c:v>0</c:v>
                </c:pt>
                <c:pt idx="3">
                  <c:v>172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21728"/>
        <c:axId val="60923264"/>
      </c:barChart>
      <c:catAx>
        <c:axId val="609217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923264"/>
        <c:crosses val="autoZero"/>
        <c:auto val="1"/>
        <c:lblAlgn val="ctr"/>
        <c:lblOffset val="100"/>
        <c:noMultiLvlLbl val="0"/>
      </c:catAx>
      <c:valAx>
        <c:axId val="609232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9217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Abril21!$C$65:$C$70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Abril21!$D$65:$D$70</c:f>
              <c:numCache>
                <c:formatCode>General</c:formatCode>
                <c:ptCount val="6"/>
                <c:pt idx="0">
                  <c:v>649</c:v>
                </c:pt>
                <c:pt idx="1">
                  <c:v>2</c:v>
                </c:pt>
                <c:pt idx="2">
                  <c:v>0</c:v>
                </c:pt>
                <c:pt idx="3">
                  <c:v>489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939648"/>
        <c:axId val="175117440"/>
      </c:barChart>
      <c:catAx>
        <c:axId val="60939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117440"/>
        <c:crosses val="autoZero"/>
        <c:auto val="1"/>
        <c:lblAlgn val="ctr"/>
        <c:lblOffset val="100"/>
        <c:noMultiLvlLbl val="0"/>
      </c:catAx>
      <c:valAx>
        <c:axId val="1751174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93964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Mayo21!$C$8:$C$15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Remitida ITEI</c:v>
                </c:pt>
              </c:strCache>
            </c:strRef>
          </c:cat>
          <c:val>
            <c:numRef>
              <c:f>Mayo21!$D$8:$D$15</c:f>
              <c:numCache>
                <c:formatCode>General</c:formatCode>
                <c:ptCount val="8"/>
                <c:pt idx="0">
                  <c:v>288</c:v>
                </c:pt>
                <c:pt idx="1">
                  <c:v>389</c:v>
                </c:pt>
                <c:pt idx="2">
                  <c:v>116</c:v>
                </c:pt>
                <c:pt idx="3">
                  <c:v>24</c:v>
                </c:pt>
                <c:pt idx="4">
                  <c:v>82</c:v>
                </c:pt>
                <c:pt idx="5" formatCode="0">
                  <c:v>0</c:v>
                </c:pt>
                <c:pt idx="6">
                  <c:v>8</c:v>
                </c:pt>
                <c:pt idx="7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6313088"/>
        <c:axId val="176315776"/>
      </c:barChart>
      <c:catAx>
        <c:axId val="176313088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6315776"/>
        <c:crosses val="autoZero"/>
        <c:auto val="1"/>
        <c:lblAlgn val="ctr"/>
        <c:lblOffset val="100"/>
        <c:noMultiLvlLbl val="0"/>
      </c:catAx>
      <c:valAx>
        <c:axId val="1763157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31308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Mayo21!$C$28:$C$31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Mayo21!$D$28:$D$31</c:f>
              <c:numCache>
                <c:formatCode>General</c:formatCode>
                <c:ptCount val="4"/>
                <c:pt idx="0">
                  <c:v>13</c:v>
                </c:pt>
                <c:pt idx="1">
                  <c:v>768</c:v>
                </c:pt>
                <c:pt idx="2">
                  <c:v>3</c:v>
                </c:pt>
                <c:pt idx="3">
                  <c:v>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332160"/>
        <c:axId val="176346240"/>
      </c:barChart>
      <c:catAx>
        <c:axId val="176332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6346240"/>
        <c:crosses val="autoZero"/>
        <c:auto val="1"/>
        <c:lblAlgn val="r"/>
        <c:lblOffset val="100"/>
        <c:noMultiLvlLbl val="0"/>
      </c:catAx>
      <c:valAx>
        <c:axId val="1763462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3321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Mayo21!$C$46:$C$50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Mayo21!$D$46:$D$50</c:f>
              <c:numCache>
                <c:formatCode>General</c:formatCode>
                <c:ptCount val="5"/>
                <c:pt idx="0">
                  <c:v>11</c:v>
                </c:pt>
                <c:pt idx="1">
                  <c:v>787</c:v>
                </c:pt>
                <c:pt idx="2">
                  <c:v>0</c:v>
                </c:pt>
                <c:pt idx="3">
                  <c:v>122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32256"/>
        <c:axId val="176433792"/>
      </c:barChart>
      <c:catAx>
        <c:axId val="1764322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6433792"/>
        <c:crosses val="autoZero"/>
        <c:auto val="1"/>
        <c:lblAlgn val="ctr"/>
        <c:lblOffset val="100"/>
        <c:noMultiLvlLbl val="0"/>
      </c:catAx>
      <c:valAx>
        <c:axId val="17643379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4322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Mayo21!$C$65:$C$70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Mayo21!$D$65:$D$70</c:f>
              <c:numCache>
                <c:formatCode>General</c:formatCode>
                <c:ptCount val="6"/>
                <c:pt idx="0">
                  <c:v>499</c:v>
                </c:pt>
                <c:pt idx="1">
                  <c:v>2</c:v>
                </c:pt>
                <c:pt idx="2">
                  <c:v>0</c:v>
                </c:pt>
                <c:pt idx="3">
                  <c:v>305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462464"/>
        <c:axId val="176480640"/>
      </c:barChart>
      <c:catAx>
        <c:axId val="176462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6480640"/>
        <c:crosses val="autoZero"/>
        <c:auto val="1"/>
        <c:lblAlgn val="ctr"/>
        <c:lblOffset val="100"/>
        <c:noMultiLvlLbl val="0"/>
      </c:catAx>
      <c:valAx>
        <c:axId val="17648064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4624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Junio21!$C$8:$C$15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Remitida ITEI</c:v>
                </c:pt>
              </c:strCache>
            </c:strRef>
          </c:cat>
          <c:val>
            <c:numRef>
              <c:f>Junio21!$D$8:$D$15</c:f>
              <c:numCache>
                <c:formatCode>General</c:formatCode>
                <c:ptCount val="8"/>
                <c:pt idx="0">
                  <c:v>420</c:v>
                </c:pt>
                <c:pt idx="1">
                  <c:v>441</c:v>
                </c:pt>
                <c:pt idx="2">
                  <c:v>89</c:v>
                </c:pt>
                <c:pt idx="3">
                  <c:v>21</c:v>
                </c:pt>
                <c:pt idx="4">
                  <c:v>91</c:v>
                </c:pt>
                <c:pt idx="5" formatCode="0">
                  <c:v>0</c:v>
                </c:pt>
                <c:pt idx="6">
                  <c:v>2</c:v>
                </c:pt>
                <c:pt idx="7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6521216"/>
        <c:axId val="176523904"/>
      </c:barChart>
      <c:catAx>
        <c:axId val="17652121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6523904"/>
        <c:crosses val="autoZero"/>
        <c:auto val="1"/>
        <c:lblAlgn val="ctr"/>
        <c:lblOffset val="100"/>
        <c:noMultiLvlLbl val="0"/>
      </c:catAx>
      <c:valAx>
        <c:axId val="17652390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52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Junio21!$C$28:$C$31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Junio21!$D$28:$D$31</c:f>
              <c:numCache>
                <c:formatCode>General</c:formatCode>
                <c:ptCount val="4"/>
                <c:pt idx="0">
                  <c:v>47</c:v>
                </c:pt>
                <c:pt idx="1">
                  <c:v>849</c:v>
                </c:pt>
                <c:pt idx="2">
                  <c:v>2</c:v>
                </c:pt>
                <c:pt idx="3">
                  <c:v>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560768"/>
        <c:axId val="176566656"/>
      </c:barChart>
      <c:catAx>
        <c:axId val="1765607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6566656"/>
        <c:crosses val="autoZero"/>
        <c:auto val="1"/>
        <c:lblAlgn val="r"/>
        <c:lblOffset val="100"/>
        <c:noMultiLvlLbl val="0"/>
      </c:catAx>
      <c:valAx>
        <c:axId val="1765666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560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Junio21!$C$46:$C$50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Junio21!$D$46:$D$50</c:f>
              <c:numCache>
                <c:formatCode>General</c:formatCode>
                <c:ptCount val="5"/>
                <c:pt idx="0">
                  <c:v>8</c:v>
                </c:pt>
                <c:pt idx="1">
                  <c:v>916</c:v>
                </c:pt>
                <c:pt idx="2">
                  <c:v>0</c:v>
                </c:pt>
                <c:pt idx="3">
                  <c:v>146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595328"/>
        <c:axId val="176596864"/>
      </c:barChart>
      <c:catAx>
        <c:axId val="176595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6596864"/>
        <c:crosses val="autoZero"/>
        <c:auto val="1"/>
        <c:lblAlgn val="ctr"/>
        <c:lblOffset val="100"/>
        <c:noMultiLvlLbl val="0"/>
      </c:catAx>
      <c:valAx>
        <c:axId val="1765968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5953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Junio21!$C$65:$C$70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Junio21!$D$65:$D$70</c:f>
              <c:numCache>
                <c:formatCode>General</c:formatCode>
                <c:ptCount val="6"/>
                <c:pt idx="0">
                  <c:v>502</c:v>
                </c:pt>
                <c:pt idx="1">
                  <c:v>2</c:v>
                </c:pt>
                <c:pt idx="2">
                  <c:v>0</c:v>
                </c:pt>
                <c:pt idx="3">
                  <c:v>452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617344"/>
        <c:axId val="176618880"/>
      </c:barChart>
      <c:catAx>
        <c:axId val="1766173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6618880"/>
        <c:crosses val="autoZero"/>
        <c:auto val="1"/>
        <c:lblAlgn val="ctr"/>
        <c:lblOffset val="100"/>
        <c:noMultiLvlLbl val="0"/>
      </c:catAx>
      <c:valAx>
        <c:axId val="1766188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6173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Julio21!$C$8:$C$15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Remitida ITEI</c:v>
                </c:pt>
              </c:strCache>
            </c:strRef>
          </c:cat>
          <c:val>
            <c:numRef>
              <c:f>Julio21!$D$8:$D$15</c:f>
              <c:numCache>
                <c:formatCode>General</c:formatCode>
                <c:ptCount val="8"/>
                <c:pt idx="0">
                  <c:v>416</c:v>
                </c:pt>
                <c:pt idx="1">
                  <c:v>384</c:v>
                </c:pt>
                <c:pt idx="2">
                  <c:v>74</c:v>
                </c:pt>
                <c:pt idx="3">
                  <c:v>28</c:v>
                </c:pt>
                <c:pt idx="4">
                  <c:v>89</c:v>
                </c:pt>
                <c:pt idx="5" formatCode="0">
                  <c:v>0</c:v>
                </c:pt>
                <c:pt idx="6">
                  <c:v>6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5605120"/>
        <c:axId val="185612160"/>
      </c:barChart>
      <c:catAx>
        <c:axId val="18560512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85612160"/>
        <c:crosses val="autoZero"/>
        <c:auto val="1"/>
        <c:lblAlgn val="ctr"/>
        <c:lblOffset val="100"/>
        <c:noMultiLvlLbl val="0"/>
      </c:catAx>
      <c:valAx>
        <c:axId val="1856121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6051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Julio21!$C$28:$C$31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Julio21!$D$28:$D$31</c:f>
              <c:numCache>
                <c:formatCode>General</c:formatCode>
                <c:ptCount val="4"/>
                <c:pt idx="0">
                  <c:v>15</c:v>
                </c:pt>
                <c:pt idx="1">
                  <c:v>839</c:v>
                </c:pt>
                <c:pt idx="2">
                  <c:v>1</c:v>
                </c:pt>
                <c:pt idx="3">
                  <c:v>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23424"/>
        <c:axId val="60824960"/>
      </c:barChart>
      <c:catAx>
        <c:axId val="60823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60824960"/>
        <c:crosses val="autoZero"/>
        <c:auto val="1"/>
        <c:lblAlgn val="r"/>
        <c:lblOffset val="100"/>
        <c:noMultiLvlLbl val="0"/>
      </c:catAx>
      <c:valAx>
        <c:axId val="608249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8234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Julio21!$C$46:$C$50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Julio21!$D$46:$D$50</c:f>
              <c:numCache>
                <c:formatCode>General</c:formatCode>
                <c:ptCount val="5"/>
                <c:pt idx="0">
                  <c:v>4</c:v>
                </c:pt>
                <c:pt idx="1">
                  <c:v>761</c:v>
                </c:pt>
                <c:pt idx="2">
                  <c:v>0</c:v>
                </c:pt>
                <c:pt idx="3">
                  <c:v>109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818496"/>
        <c:axId val="185828480"/>
      </c:barChart>
      <c:catAx>
        <c:axId val="185818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828480"/>
        <c:crosses val="autoZero"/>
        <c:auto val="1"/>
        <c:lblAlgn val="ctr"/>
        <c:lblOffset val="100"/>
        <c:noMultiLvlLbl val="0"/>
      </c:catAx>
      <c:valAx>
        <c:axId val="1858284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81849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Julio21!$C$65:$C$70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Julio21!$D$65:$D$70</c:f>
              <c:numCache>
                <c:formatCode>General</c:formatCode>
                <c:ptCount val="6"/>
                <c:pt idx="0">
                  <c:v>522</c:v>
                </c:pt>
                <c:pt idx="1">
                  <c:v>0</c:v>
                </c:pt>
                <c:pt idx="2">
                  <c:v>0</c:v>
                </c:pt>
                <c:pt idx="3">
                  <c:v>352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676928"/>
        <c:axId val="185678464"/>
      </c:barChart>
      <c:catAx>
        <c:axId val="185676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678464"/>
        <c:crosses val="autoZero"/>
        <c:auto val="1"/>
        <c:lblAlgn val="ctr"/>
        <c:lblOffset val="100"/>
        <c:noMultiLvlLbl val="0"/>
      </c:catAx>
      <c:valAx>
        <c:axId val="1856784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6769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Agosto21!$C$8:$C$15</c:f>
              <c:strCache>
                <c:ptCount val="8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  <c:pt idx="7">
                  <c:v>Remitida ITEI</c:v>
                </c:pt>
              </c:strCache>
            </c:strRef>
          </c:cat>
          <c:val>
            <c:numRef>
              <c:f>Agosto21!$D$8:$D$15</c:f>
              <c:numCache>
                <c:formatCode>General</c:formatCode>
                <c:ptCount val="8"/>
                <c:pt idx="0">
                  <c:v>549</c:v>
                </c:pt>
                <c:pt idx="1">
                  <c:v>493</c:v>
                </c:pt>
                <c:pt idx="2">
                  <c:v>111</c:v>
                </c:pt>
                <c:pt idx="3">
                  <c:v>24</c:v>
                </c:pt>
                <c:pt idx="4">
                  <c:v>61</c:v>
                </c:pt>
                <c:pt idx="5" formatCode="0">
                  <c:v>0</c:v>
                </c:pt>
                <c:pt idx="6">
                  <c:v>3</c:v>
                </c:pt>
                <c:pt idx="7">
                  <c:v>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5743616"/>
        <c:axId val="185754752"/>
      </c:barChart>
      <c:catAx>
        <c:axId val="18574361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85754752"/>
        <c:crosses val="autoZero"/>
        <c:auto val="1"/>
        <c:lblAlgn val="ctr"/>
        <c:lblOffset val="100"/>
        <c:noMultiLvlLbl val="0"/>
      </c:catAx>
      <c:valAx>
        <c:axId val="1857547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7436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Agosto21!$C$28:$C$31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Agosto21!$D$28:$D$31</c:f>
              <c:numCache>
                <c:formatCode>General</c:formatCode>
                <c:ptCount val="4"/>
                <c:pt idx="0">
                  <c:v>16</c:v>
                </c:pt>
                <c:pt idx="1">
                  <c:v>1113</c:v>
                </c:pt>
                <c:pt idx="2">
                  <c:v>3</c:v>
                </c:pt>
                <c:pt idx="3">
                  <c:v>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791616"/>
        <c:axId val="185793152"/>
      </c:barChart>
      <c:catAx>
        <c:axId val="185791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85793152"/>
        <c:crosses val="autoZero"/>
        <c:auto val="1"/>
        <c:lblAlgn val="r"/>
        <c:lblOffset val="100"/>
        <c:noMultiLvlLbl val="0"/>
      </c:catAx>
      <c:valAx>
        <c:axId val="1857931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7916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Agosto21!$C$46:$C$50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Agosto21!$D$46:$D$50</c:f>
              <c:numCache>
                <c:formatCode>General</c:formatCode>
                <c:ptCount val="5"/>
                <c:pt idx="0">
                  <c:v>15</c:v>
                </c:pt>
                <c:pt idx="1">
                  <c:v>1096</c:v>
                </c:pt>
                <c:pt idx="2">
                  <c:v>0</c:v>
                </c:pt>
                <c:pt idx="3">
                  <c:v>148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37216"/>
        <c:axId val="186163584"/>
      </c:barChart>
      <c:catAx>
        <c:axId val="1861372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163584"/>
        <c:crosses val="autoZero"/>
        <c:auto val="1"/>
        <c:lblAlgn val="ctr"/>
        <c:lblOffset val="100"/>
        <c:noMultiLvlLbl val="0"/>
      </c:catAx>
      <c:valAx>
        <c:axId val="1861635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1372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Agosto21!$C$65:$C$70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Agosto21!$D$65:$D$70</c:f>
              <c:numCache>
                <c:formatCode>General</c:formatCode>
                <c:ptCount val="6"/>
                <c:pt idx="0">
                  <c:v>612</c:v>
                </c:pt>
                <c:pt idx="1">
                  <c:v>0</c:v>
                </c:pt>
                <c:pt idx="2">
                  <c:v>0</c:v>
                </c:pt>
                <c:pt idx="3">
                  <c:v>559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179968"/>
        <c:axId val="186181504"/>
      </c:barChart>
      <c:catAx>
        <c:axId val="186179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181504"/>
        <c:crosses val="autoZero"/>
        <c:auto val="1"/>
        <c:lblAlgn val="ctr"/>
        <c:lblOffset val="100"/>
        <c:noMultiLvlLbl val="0"/>
      </c:catAx>
      <c:valAx>
        <c:axId val="1861815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17996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Septiembre21!$C$8:$C$14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Septiembre21!$D$8:$D$14</c:f>
              <c:numCache>
                <c:formatCode>General</c:formatCode>
                <c:ptCount val="7"/>
                <c:pt idx="0">
                  <c:v>434</c:v>
                </c:pt>
                <c:pt idx="1">
                  <c:v>487</c:v>
                </c:pt>
                <c:pt idx="2">
                  <c:v>119</c:v>
                </c:pt>
                <c:pt idx="3">
                  <c:v>6</c:v>
                </c:pt>
                <c:pt idx="4">
                  <c:v>61</c:v>
                </c:pt>
                <c:pt idx="5" formatCode="0">
                  <c:v>0</c:v>
                </c:pt>
                <c:pt idx="6">
                  <c:v>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5869824"/>
        <c:axId val="185885056"/>
      </c:barChart>
      <c:catAx>
        <c:axId val="18586982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85885056"/>
        <c:crosses val="autoZero"/>
        <c:auto val="1"/>
        <c:lblAlgn val="ctr"/>
        <c:lblOffset val="100"/>
        <c:noMultiLvlLbl val="0"/>
      </c:catAx>
      <c:valAx>
        <c:axId val="1858850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8698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Septiembre21!$C$27:$C$30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Septiembre21!$D$27:$D$30</c:f>
              <c:numCache>
                <c:formatCode>General</c:formatCode>
                <c:ptCount val="4"/>
                <c:pt idx="0">
                  <c:v>26</c:v>
                </c:pt>
                <c:pt idx="1">
                  <c:v>942</c:v>
                </c:pt>
                <c:pt idx="2">
                  <c:v>0</c:v>
                </c:pt>
                <c:pt idx="3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09632"/>
        <c:axId val="185911168"/>
      </c:barChart>
      <c:catAx>
        <c:axId val="185909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85911168"/>
        <c:crosses val="autoZero"/>
        <c:auto val="1"/>
        <c:lblAlgn val="r"/>
        <c:lblOffset val="100"/>
        <c:noMultiLvlLbl val="0"/>
      </c:catAx>
      <c:valAx>
        <c:axId val="185911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9096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Septiembre21!$C$45:$C$49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Septiembre21!$D$45:$D$49</c:f>
              <c:numCache>
                <c:formatCode>General</c:formatCode>
                <c:ptCount val="5"/>
                <c:pt idx="0">
                  <c:v>22</c:v>
                </c:pt>
                <c:pt idx="1">
                  <c:v>911</c:v>
                </c:pt>
                <c:pt idx="2">
                  <c:v>0</c:v>
                </c:pt>
                <c:pt idx="3">
                  <c:v>116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296192"/>
        <c:axId val="186297728"/>
      </c:barChart>
      <c:catAx>
        <c:axId val="186296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297728"/>
        <c:crosses val="autoZero"/>
        <c:auto val="1"/>
        <c:lblAlgn val="ctr"/>
        <c:lblOffset val="100"/>
        <c:noMultiLvlLbl val="0"/>
      </c:catAx>
      <c:valAx>
        <c:axId val="1862977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2961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Septiembre21!$C$64:$C$69</c:f>
              <c:strCache>
                <c:ptCount val="6"/>
                <c:pt idx="0">
                  <c:v>En la respuesta</c:v>
                </c:pt>
                <c:pt idx="1">
                  <c:v>Consulta directa personal</c:v>
                </c:pt>
                <c:pt idx="2">
                  <c:v>Consulta directa electrónica</c:v>
                </c:pt>
                <c:pt idx="3">
                  <c:v>Reproducción de documentos</c:v>
                </c:pt>
                <c:pt idx="4">
                  <c:v>Elaboración de informes</c:v>
                </c:pt>
                <c:pt idx="5">
                  <c:v>Combinación de las anteriores</c:v>
                </c:pt>
              </c:strCache>
            </c:strRef>
          </c:cat>
          <c:val>
            <c:numRef>
              <c:f>Septiembre21!$D$64:$D$69</c:f>
              <c:numCache>
                <c:formatCode>General</c:formatCode>
                <c:ptCount val="6"/>
                <c:pt idx="0">
                  <c:v>436</c:v>
                </c:pt>
                <c:pt idx="1">
                  <c:v>6</c:v>
                </c:pt>
                <c:pt idx="2">
                  <c:v>64</c:v>
                </c:pt>
                <c:pt idx="3">
                  <c:v>480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37280"/>
        <c:axId val="185955456"/>
      </c:barChart>
      <c:catAx>
        <c:axId val="1859372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955456"/>
        <c:crosses val="autoZero"/>
        <c:auto val="1"/>
        <c:lblAlgn val="ctr"/>
        <c:lblOffset val="100"/>
        <c:noMultiLvlLbl val="0"/>
      </c:catAx>
      <c:valAx>
        <c:axId val="1859554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93728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Octubre21!$C$8:$C$14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Octubre21!$D$8:$D$14</c:f>
              <c:numCache>
                <c:formatCode>General</c:formatCode>
                <c:ptCount val="7"/>
                <c:pt idx="0">
                  <c:v>439</c:v>
                </c:pt>
                <c:pt idx="1">
                  <c:v>385</c:v>
                </c:pt>
                <c:pt idx="2">
                  <c:v>131</c:v>
                </c:pt>
                <c:pt idx="3">
                  <c:v>20</c:v>
                </c:pt>
                <c:pt idx="4">
                  <c:v>33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6024704"/>
        <c:axId val="186027392"/>
      </c:barChart>
      <c:catAx>
        <c:axId val="18602470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86027392"/>
        <c:crosses val="autoZero"/>
        <c:auto val="1"/>
        <c:lblAlgn val="ctr"/>
        <c:lblOffset val="100"/>
        <c:noMultiLvlLbl val="0"/>
      </c:catAx>
      <c:valAx>
        <c:axId val="186027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60247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Octubre21!$C$27:$C$30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Octubre21!$D$27:$D$30</c:f>
              <c:numCache>
                <c:formatCode>General</c:formatCode>
                <c:ptCount val="4"/>
                <c:pt idx="0">
                  <c:v>21</c:v>
                </c:pt>
                <c:pt idx="1">
                  <c:v>873</c:v>
                </c:pt>
                <c:pt idx="2">
                  <c:v>1</c:v>
                </c:pt>
                <c:pt idx="3">
                  <c:v>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31744"/>
        <c:axId val="60441728"/>
      </c:barChart>
      <c:catAx>
        <c:axId val="604317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60441728"/>
        <c:crosses val="autoZero"/>
        <c:auto val="1"/>
        <c:lblAlgn val="r"/>
        <c:lblOffset val="100"/>
        <c:noMultiLvlLbl val="0"/>
      </c:catAx>
      <c:valAx>
        <c:axId val="604417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4317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Octubre21!$C$45:$C$49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Octubre21!$D$45:$D$49</c:f>
              <c:numCache>
                <c:formatCode>General</c:formatCode>
                <c:ptCount val="5"/>
                <c:pt idx="0">
                  <c:v>28</c:v>
                </c:pt>
                <c:pt idx="1">
                  <c:v>908</c:v>
                </c:pt>
                <c:pt idx="2">
                  <c:v>0</c:v>
                </c:pt>
                <c:pt idx="3">
                  <c:v>39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462208"/>
        <c:axId val="60463744"/>
      </c:barChart>
      <c:catAx>
        <c:axId val="60462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463744"/>
        <c:crosses val="autoZero"/>
        <c:auto val="1"/>
        <c:lblAlgn val="ctr"/>
        <c:lblOffset val="100"/>
        <c:noMultiLvlLbl val="0"/>
      </c:catAx>
      <c:valAx>
        <c:axId val="604637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4622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Octubre21!$C$64:$C$68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Octubre21!$D$64:$D$68</c:f>
              <c:numCache>
                <c:formatCode>General</c:formatCode>
                <c:ptCount val="5"/>
                <c:pt idx="0">
                  <c:v>5</c:v>
                </c:pt>
                <c:pt idx="1">
                  <c:v>557</c:v>
                </c:pt>
                <c:pt idx="2">
                  <c:v>392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93856"/>
        <c:axId val="60490112"/>
      </c:barChart>
      <c:catAx>
        <c:axId val="1859938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490112"/>
        <c:crosses val="autoZero"/>
        <c:auto val="1"/>
        <c:lblAlgn val="ctr"/>
        <c:lblOffset val="100"/>
        <c:noMultiLvlLbl val="0"/>
      </c:catAx>
      <c:valAx>
        <c:axId val="60490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99385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Noviembre21!$C$8:$C$14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Noviembre21!$D$8:$D$14</c:f>
              <c:numCache>
                <c:formatCode>General</c:formatCode>
                <c:ptCount val="7"/>
                <c:pt idx="0">
                  <c:v>501</c:v>
                </c:pt>
                <c:pt idx="1">
                  <c:v>425</c:v>
                </c:pt>
                <c:pt idx="2">
                  <c:v>216</c:v>
                </c:pt>
                <c:pt idx="3">
                  <c:v>26</c:v>
                </c:pt>
                <c:pt idx="4">
                  <c:v>50</c:v>
                </c:pt>
                <c:pt idx="5" formatCode="0">
                  <c:v>0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6246784"/>
        <c:axId val="176249472"/>
      </c:barChart>
      <c:catAx>
        <c:axId val="17624678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6249472"/>
        <c:crosses val="autoZero"/>
        <c:auto val="1"/>
        <c:lblAlgn val="ctr"/>
        <c:lblOffset val="100"/>
        <c:noMultiLvlLbl val="0"/>
      </c:catAx>
      <c:valAx>
        <c:axId val="176249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624678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Noviembre21!$C$27:$C$30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Noviembre21!$D$27:$D$30</c:f>
              <c:numCache>
                <c:formatCode>General</c:formatCode>
                <c:ptCount val="4"/>
                <c:pt idx="0">
                  <c:v>31</c:v>
                </c:pt>
                <c:pt idx="1">
                  <c:v>1080</c:v>
                </c:pt>
                <c:pt idx="2">
                  <c:v>1</c:v>
                </c:pt>
                <c:pt idx="3">
                  <c:v>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274048"/>
        <c:axId val="176284032"/>
      </c:barChart>
      <c:catAx>
        <c:axId val="176274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6284032"/>
        <c:crosses val="autoZero"/>
        <c:auto val="1"/>
        <c:lblAlgn val="r"/>
        <c:lblOffset val="100"/>
        <c:noMultiLvlLbl val="0"/>
      </c:catAx>
      <c:valAx>
        <c:axId val="176284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274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Noviembre21!$C$42:$C$46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Noviembre21!$D$42:$D$46</c:f>
              <c:numCache>
                <c:formatCode>General</c:formatCode>
                <c:ptCount val="5"/>
                <c:pt idx="0">
                  <c:v>27</c:v>
                </c:pt>
                <c:pt idx="1">
                  <c:v>1040</c:v>
                </c:pt>
                <c:pt idx="2">
                  <c:v>0</c:v>
                </c:pt>
                <c:pt idx="3">
                  <c:v>101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39712"/>
        <c:axId val="186341248"/>
      </c:barChart>
      <c:catAx>
        <c:axId val="186339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341248"/>
        <c:crosses val="autoZero"/>
        <c:auto val="1"/>
        <c:lblAlgn val="ctr"/>
        <c:lblOffset val="100"/>
        <c:noMultiLvlLbl val="0"/>
      </c:catAx>
      <c:valAx>
        <c:axId val="1863412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3397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Noviembre21!$C$57:$C$61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Noviembre21!$D$57:$D$61</c:f>
              <c:numCache>
                <c:formatCode>General</c:formatCode>
                <c:ptCount val="5"/>
                <c:pt idx="0">
                  <c:v>1</c:v>
                </c:pt>
                <c:pt idx="1">
                  <c:v>693</c:v>
                </c:pt>
                <c:pt idx="2">
                  <c:v>448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57632"/>
        <c:axId val="186359168"/>
      </c:barChart>
      <c:catAx>
        <c:axId val="1863576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6359168"/>
        <c:crosses val="autoZero"/>
        <c:auto val="1"/>
        <c:lblAlgn val="ctr"/>
        <c:lblOffset val="100"/>
        <c:noMultiLvlLbl val="0"/>
      </c:catAx>
      <c:valAx>
        <c:axId val="1863591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635763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Diciembre21!$C$8:$C$14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Diciembre21!$D$8:$D$14</c:f>
              <c:numCache>
                <c:formatCode>General</c:formatCode>
                <c:ptCount val="7"/>
                <c:pt idx="0">
                  <c:v>246</c:v>
                </c:pt>
                <c:pt idx="1">
                  <c:v>201</c:v>
                </c:pt>
                <c:pt idx="2">
                  <c:v>118</c:v>
                </c:pt>
                <c:pt idx="3">
                  <c:v>11</c:v>
                </c:pt>
                <c:pt idx="4">
                  <c:v>17</c:v>
                </c:pt>
                <c:pt idx="5" formatCode="0">
                  <c:v>0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7783424"/>
        <c:axId val="57784960"/>
      </c:barChart>
      <c:catAx>
        <c:axId val="5778342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57784960"/>
        <c:crosses val="autoZero"/>
        <c:auto val="1"/>
        <c:lblAlgn val="ctr"/>
        <c:lblOffset val="100"/>
        <c:noMultiLvlLbl val="0"/>
      </c:catAx>
      <c:valAx>
        <c:axId val="577849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7834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Diciembre21!$C$27:$C$30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Diciembre21!$D$27:$D$30</c:f>
              <c:numCache>
                <c:formatCode>General</c:formatCode>
                <c:ptCount val="4"/>
                <c:pt idx="0">
                  <c:v>11</c:v>
                </c:pt>
                <c:pt idx="1">
                  <c:v>417</c:v>
                </c:pt>
                <c:pt idx="2">
                  <c:v>0</c:v>
                </c:pt>
                <c:pt idx="3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002048"/>
        <c:axId val="58016128"/>
      </c:barChart>
      <c:catAx>
        <c:axId val="58002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58016128"/>
        <c:crosses val="autoZero"/>
        <c:auto val="1"/>
        <c:lblAlgn val="r"/>
        <c:lblOffset val="100"/>
        <c:noMultiLvlLbl val="0"/>
      </c:catAx>
      <c:valAx>
        <c:axId val="580161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8002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Diciembre21!$C$42:$C$46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Diciembre21!$D$42:$D$46</c:f>
              <c:numCache>
                <c:formatCode>General</c:formatCode>
                <c:ptCount val="5"/>
                <c:pt idx="0">
                  <c:v>15</c:v>
                </c:pt>
                <c:pt idx="1">
                  <c:v>503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032512"/>
        <c:axId val="58034048"/>
      </c:barChart>
      <c:catAx>
        <c:axId val="58032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8034048"/>
        <c:crosses val="autoZero"/>
        <c:auto val="1"/>
        <c:lblAlgn val="ctr"/>
        <c:lblOffset val="100"/>
        <c:noMultiLvlLbl val="0"/>
      </c:catAx>
      <c:valAx>
        <c:axId val="58034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580325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Diciembre21!$C$57:$C$61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Diciembre21!$D$57:$D$61</c:f>
              <c:numCache>
                <c:formatCode>General</c:formatCode>
                <c:ptCount val="5"/>
                <c:pt idx="0">
                  <c:v>3</c:v>
                </c:pt>
                <c:pt idx="1">
                  <c:v>226</c:v>
                </c:pt>
                <c:pt idx="2">
                  <c:v>217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12128"/>
        <c:axId val="60513664"/>
      </c:barChart>
      <c:catAx>
        <c:axId val="605121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0513664"/>
        <c:crosses val="autoZero"/>
        <c:auto val="1"/>
        <c:lblAlgn val="ctr"/>
        <c:lblOffset val="100"/>
        <c:noMultiLvlLbl val="0"/>
      </c:catAx>
      <c:valAx>
        <c:axId val="605136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05121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32.xml"/><Relationship Id="rId5" Type="http://schemas.openxmlformats.org/officeDocument/2006/relationships/chart" Target="../charts/chart31.xml"/><Relationship Id="rId4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7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40.xml"/><Relationship Id="rId5" Type="http://schemas.openxmlformats.org/officeDocument/2006/relationships/chart" Target="../charts/chart39.xml"/><Relationship Id="rId4" Type="http://schemas.openxmlformats.org/officeDocument/2006/relationships/chart" Target="../charts/chart3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1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44.xml"/><Relationship Id="rId5" Type="http://schemas.openxmlformats.org/officeDocument/2006/relationships/chart" Target="../charts/chart43.xml"/><Relationship Id="rId4" Type="http://schemas.openxmlformats.org/officeDocument/2006/relationships/chart" Target="../charts/chart42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microsoft.com/office/2007/relationships/hdphoto" Target="NULL"/><Relationship Id="rId1" Type="http://schemas.openxmlformats.org/officeDocument/2006/relationships/image" Target="../media/image1.png"/><Relationship Id="rId6" Type="http://schemas.openxmlformats.org/officeDocument/2006/relationships/chart" Target="../charts/chart48.xml"/><Relationship Id="rId5" Type="http://schemas.openxmlformats.org/officeDocument/2006/relationships/chart" Target="../charts/chart47.xml"/><Relationship Id="rId4" Type="http://schemas.openxmlformats.org/officeDocument/2006/relationships/chart" Target="../charts/chart4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361950</xdr:rowOff>
    </xdr:from>
    <xdr:to>
      <xdr:col>3</xdr:col>
      <xdr:colOff>542925</xdr:colOff>
      <xdr:row>0</xdr:row>
      <xdr:rowOff>1238250</xdr:rowOff>
    </xdr:to>
    <xdr:pic>
      <xdr:nvPicPr>
        <xdr:cNvPr id="8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36195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552450</xdr:colOff>
      <xdr:row>0</xdr:row>
      <xdr:rowOff>66676</xdr:rowOff>
    </xdr:from>
    <xdr:to>
      <xdr:col>13</xdr:col>
      <xdr:colOff>85725</xdr:colOff>
      <xdr:row>0</xdr:row>
      <xdr:rowOff>1343026</xdr:rowOff>
    </xdr:to>
    <xdr:pic>
      <xdr:nvPicPr>
        <xdr:cNvPr id="9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9315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10" name="Rectángulo 9"/>
        <xdr:cNvSpPr/>
      </xdr:nvSpPr>
      <xdr:spPr>
        <a:xfrm>
          <a:off x="1676400" y="800100"/>
          <a:ext cx="781050" cy="1333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361950</xdr:rowOff>
    </xdr:from>
    <xdr:to>
      <xdr:col>3</xdr:col>
      <xdr:colOff>542925</xdr:colOff>
      <xdr:row>0</xdr:row>
      <xdr:rowOff>1238250</xdr:rowOff>
    </xdr:to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047875" cy="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552450</xdr:colOff>
      <xdr:row>0</xdr:row>
      <xdr:rowOff>66676</xdr:rowOff>
    </xdr:from>
    <xdr:to>
      <xdr:col>13</xdr:col>
      <xdr:colOff>85725</xdr:colOff>
      <xdr:row>0</xdr:row>
      <xdr:rowOff>1343026</xdr:rowOff>
    </xdr:to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38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361950</xdr:rowOff>
    </xdr:from>
    <xdr:to>
      <xdr:col>3</xdr:col>
      <xdr:colOff>542925</xdr:colOff>
      <xdr:row>0</xdr:row>
      <xdr:rowOff>1238250</xdr:rowOff>
    </xdr:to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047875" cy="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552450</xdr:colOff>
      <xdr:row>0</xdr:row>
      <xdr:rowOff>66676</xdr:rowOff>
    </xdr:from>
    <xdr:to>
      <xdr:col>13</xdr:col>
      <xdr:colOff>85725</xdr:colOff>
      <xdr:row>0</xdr:row>
      <xdr:rowOff>1343026</xdr:rowOff>
    </xdr:to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38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361950</xdr:rowOff>
    </xdr:from>
    <xdr:to>
      <xdr:col>3</xdr:col>
      <xdr:colOff>542925</xdr:colOff>
      <xdr:row>0</xdr:row>
      <xdr:rowOff>1238250</xdr:rowOff>
    </xdr:to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047875" cy="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11</xdr:col>
      <xdr:colOff>552450</xdr:colOff>
      <xdr:row>0</xdr:row>
      <xdr:rowOff>66676</xdr:rowOff>
    </xdr:from>
    <xdr:to>
      <xdr:col>13</xdr:col>
      <xdr:colOff>85725</xdr:colOff>
      <xdr:row>0</xdr:row>
      <xdr:rowOff>1343026</xdr:rowOff>
    </xdr:to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38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66</xdr:row>
      <xdr:rowOff>190500</xdr:rowOff>
    </xdr:from>
    <xdr:to>
      <xdr:col>13</xdr:col>
      <xdr:colOff>19050</xdr:colOff>
      <xdr:row>72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65</xdr:row>
      <xdr:rowOff>190500</xdr:rowOff>
    </xdr:from>
    <xdr:to>
      <xdr:col>13</xdr:col>
      <xdr:colOff>19050</xdr:colOff>
      <xdr:row>71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361950</xdr:rowOff>
    </xdr:from>
    <xdr:ext cx="2428875" cy="876300"/>
    <xdr:pic>
      <xdr:nvPicPr>
        <xdr:cNvPr id="2" name="Imagen 7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88" t="21477" r="58837" b="13423"/>
        <a:stretch/>
      </xdr:blipFill>
      <xdr:spPr bwMode="auto">
        <a:xfrm>
          <a:off x="781050" y="190500"/>
          <a:ext cx="2428875" cy="8763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6" name="5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11</xdr:col>
      <xdr:colOff>552450</xdr:colOff>
      <xdr:row>0</xdr:row>
      <xdr:rowOff>66676</xdr:rowOff>
    </xdr:from>
    <xdr:ext cx="1057275" cy="1276350"/>
    <xdr:pic>
      <xdr:nvPicPr>
        <xdr:cNvPr id="7" name="Imagen 8"/>
        <xdr:cNvPicPr/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8934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8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>
      <selection activeCell="D6" sqref="D6"/>
    </sheetView>
  </sheetViews>
  <sheetFormatPr baseColWidth="10" defaultRowHeight="15" x14ac:dyDescent="0.25"/>
  <cols>
    <col min="1" max="1" width="11.42578125" style="2"/>
    <col min="3" max="3" width="17.140625" customWidth="1"/>
    <col min="4" max="4" width="11.85546875" bestFit="1" customWidth="1"/>
  </cols>
  <sheetData>
    <row r="1" spans="1:16" ht="133.5" customHeight="1" x14ac:dyDescent="0.25">
      <c r="A1" s="29"/>
      <c r="B1" s="70" t="s">
        <v>42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43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s="2" customFormat="1" ht="23.25" x14ac:dyDescent="0.35">
      <c r="B5" s="8"/>
      <c r="C5" s="8"/>
      <c r="D5" s="8"/>
      <c r="E5" s="8"/>
      <c r="F5" s="8"/>
      <c r="G5" s="21" t="s">
        <v>22</v>
      </c>
      <c r="H5" s="8"/>
      <c r="I5" s="8"/>
      <c r="J5" s="8"/>
      <c r="K5" s="8"/>
      <c r="L5" s="8"/>
      <c r="M5" s="8"/>
      <c r="N5" s="8"/>
    </row>
    <row r="6" spans="1:16" s="2" customFormat="1" ht="23.25" x14ac:dyDescent="0.35">
      <c r="B6" s="20" t="s">
        <v>21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1:16" s="2" customFormat="1" ht="23.25" x14ac:dyDescent="0.35">
      <c r="B7" s="67" t="s">
        <v>8</v>
      </c>
      <c r="C7" s="67"/>
      <c r="D7" s="67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6" s="2" customFormat="1" ht="23.25" x14ac:dyDescent="0.35">
      <c r="B8" s="3">
        <v>1</v>
      </c>
      <c r="C8" s="4" t="s">
        <v>1</v>
      </c>
      <c r="D8" s="19">
        <v>349</v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6" ht="15.75" x14ac:dyDescent="0.25">
      <c r="B9" s="3">
        <v>2</v>
      </c>
      <c r="C9" s="5" t="s">
        <v>31</v>
      </c>
      <c r="D9" s="19">
        <v>287</v>
      </c>
    </row>
    <row r="10" spans="1:16" ht="15.75" x14ac:dyDescent="0.25">
      <c r="B10" s="3">
        <v>3</v>
      </c>
      <c r="C10" s="5" t="s">
        <v>2</v>
      </c>
      <c r="D10" s="19">
        <v>82</v>
      </c>
    </row>
    <row r="11" spans="1:16" ht="31.5" x14ac:dyDescent="0.25">
      <c r="B11" s="3">
        <v>4</v>
      </c>
      <c r="C11" s="4" t="s">
        <v>3</v>
      </c>
      <c r="D11" s="19">
        <v>16</v>
      </c>
    </row>
    <row r="12" spans="1:16" ht="15.75" x14ac:dyDescent="0.25">
      <c r="B12" s="25">
        <v>5</v>
      </c>
      <c r="C12" s="4" t="s">
        <v>4</v>
      </c>
      <c r="D12" s="19">
        <v>85</v>
      </c>
    </row>
    <row r="13" spans="1:16" ht="15.75" x14ac:dyDescent="0.25">
      <c r="B13" s="25">
        <v>6</v>
      </c>
      <c r="C13" s="4" t="s">
        <v>38</v>
      </c>
      <c r="D13" s="6">
        <v>0</v>
      </c>
    </row>
    <row r="14" spans="1:16" ht="15.75" x14ac:dyDescent="0.25">
      <c r="B14" s="3">
        <v>7</v>
      </c>
      <c r="C14" s="4" t="s">
        <v>39</v>
      </c>
      <c r="D14" s="19">
        <v>11</v>
      </c>
    </row>
    <row r="15" spans="1:16" ht="15.75" x14ac:dyDescent="0.25">
      <c r="B15" s="26">
        <v>8</v>
      </c>
      <c r="C15" s="4" t="s">
        <v>40</v>
      </c>
      <c r="D15" s="19">
        <v>6</v>
      </c>
    </row>
    <row r="16" spans="1:16" ht="15.75" x14ac:dyDescent="0.25">
      <c r="B16" s="66" t="s">
        <v>24</v>
      </c>
      <c r="C16" s="66"/>
      <c r="D16" s="27">
        <f>SUM(D8:D15)</f>
        <v>836</v>
      </c>
    </row>
    <row r="17" spans="2:7" x14ac:dyDescent="0.25">
      <c r="G17" s="22" t="s">
        <v>44</v>
      </c>
    </row>
    <row r="18" spans="2:7" ht="15.75" x14ac:dyDescent="0.25">
      <c r="B18" s="74" t="s">
        <v>35</v>
      </c>
      <c r="C18" s="75"/>
      <c r="D18" s="23">
        <v>836</v>
      </c>
    </row>
    <row r="19" spans="2:7" s="2" customFormat="1" ht="15.75" x14ac:dyDescent="0.25">
      <c r="B19" s="74" t="s">
        <v>36</v>
      </c>
      <c r="C19" s="75"/>
      <c r="D19" s="23">
        <v>16</v>
      </c>
      <c r="E19"/>
    </row>
    <row r="20" spans="2:7" s="2" customFormat="1" ht="15.75" x14ac:dyDescent="0.25">
      <c r="B20" s="74" t="s">
        <v>41</v>
      </c>
      <c r="C20" s="75"/>
      <c r="D20" s="23">
        <v>85</v>
      </c>
    </row>
    <row r="21" spans="2:7" s="2" customFormat="1" ht="15.75" x14ac:dyDescent="0.25">
      <c r="B21" s="74" t="s">
        <v>38</v>
      </c>
      <c r="C21" s="75"/>
      <c r="D21" s="23">
        <v>0</v>
      </c>
      <c r="G21" s="21" t="s">
        <v>26</v>
      </c>
    </row>
    <row r="22" spans="2:7" ht="15.75" x14ac:dyDescent="0.25">
      <c r="B22" s="74" t="s">
        <v>39</v>
      </c>
      <c r="C22" s="75"/>
      <c r="D22" s="23">
        <v>11</v>
      </c>
    </row>
    <row r="23" spans="2:7" ht="15.75" x14ac:dyDescent="0.25">
      <c r="B23" s="74" t="s">
        <v>37</v>
      </c>
      <c r="C23" s="75"/>
      <c r="D23" s="28">
        <f>(D18)-D19-D21-D20-D22</f>
        <v>724</v>
      </c>
    </row>
    <row r="26" spans="2:7" ht="15.75" x14ac:dyDescent="0.25">
      <c r="B26" s="20" t="s">
        <v>25</v>
      </c>
    </row>
    <row r="27" spans="2:7" ht="15.75" x14ac:dyDescent="0.25">
      <c r="B27" s="66" t="s">
        <v>9</v>
      </c>
      <c r="C27" s="66"/>
      <c r="D27" s="66"/>
    </row>
    <row r="28" spans="2:7" ht="15.75" x14ac:dyDescent="0.25">
      <c r="B28" s="9">
        <v>1</v>
      </c>
      <c r="C28" s="10" t="s">
        <v>5</v>
      </c>
      <c r="D28" s="11">
        <v>7</v>
      </c>
    </row>
    <row r="29" spans="2:7" ht="31.5" x14ac:dyDescent="0.25">
      <c r="B29" s="3">
        <v>2</v>
      </c>
      <c r="C29" s="12" t="s">
        <v>32</v>
      </c>
      <c r="D29" s="11">
        <v>689</v>
      </c>
    </row>
    <row r="30" spans="2:7" ht="15.75" x14ac:dyDescent="0.25">
      <c r="B30" s="9">
        <v>3</v>
      </c>
      <c r="C30" s="13" t="s">
        <v>6</v>
      </c>
      <c r="D30" s="14">
        <v>2</v>
      </c>
    </row>
    <row r="31" spans="2:7" ht="15.75" x14ac:dyDescent="0.25">
      <c r="B31" s="9">
        <v>4</v>
      </c>
      <c r="C31" s="10" t="s">
        <v>7</v>
      </c>
      <c r="D31" s="14">
        <v>26</v>
      </c>
    </row>
    <row r="32" spans="2:7" ht="15.75" x14ac:dyDescent="0.25">
      <c r="B32" s="68" t="s">
        <v>24</v>
      </c>
      <c r="C32" s="69"/>
      <c r="D32" s="24">
        <f>SUM(D28:D31)</f>
        <v>724</v>
      </c>
    </row>
    <row r="35" spans="2:7" x14ac:dyDescent="0.25">
      <c r="G35" s="22" t="s">
        <v>44</v>
      </c>
    </row>
    <row r="39" spans="2:7" s="2" customFormat="1" x14ac:dyDescent="0.25">
      <c r="B39"/>
      <c r="C39"/>
      <c r="D39"/>
    </row>
    <row r="40" spans="2:7" s="2" customFormat="1" ht="15.75" x14ac:dyDescent="0.25">
      <c r="B40"/>
      <c r="C40"/>
      <c r="D40"/>
      <c r="G40" s="21" t="s">
        <v>28</v>
      </c>
    </row>
    <row r="41" spans="2:7" s="2" customFormat="1" x14ac:dyDescent="0.25"/>
    <row r="42" spans="2:7" x14ac:dyDescent="0.25">
      <c r="B42" s="2"/>
      <c r="C42" s="2"/>
      <c r="D42" s="2"/>
    </row>
    <row r="43" spans="2:7" x14ac:dyDescent="0.25">
      <c r="B43" s="2"/>
      <c r="C43" s="2"/>
      <c r="D43" s="2"/>
    </row>
    <row r="44" spans="2:7" ht="15.75" x14ac:dyDescent="0.25">
      <c r="B44" s="20" t="s">
        <v>27</v>
      </c>
      <c r="C44" s="15"/>
      <c r="D44" s="16"/>
    </row>
    <row r="45" spans="2:7" ht="15.75" x14ac:dyDescent="0.25">
      <c r="B45" s="67" t="s">
        <v>20</v>
      </c>
      <c r="C45" s="67"/>
      <c r="D45" s="67"/>
    </row>
    <row r="46" spans="2:7" ht="15.75" x14ac:dyDescent="0.25">
      <c r="B46" s="9">
        <v>1</v>
      </c>
      <c r="C46" s="10" t="s">
        <v>10</v>
      </c>
      <c r="D46" s="11">
        <v>3</v>
      </c>
    </row>
    <row r="47" spans="2:7" ht="15.75" x14ac:dyDescent="0.25">
      <c r="B47" s="9">
        <v>2</v>
      </c>
      <c r="C47" s="10" t="s">
        <v>11</v>
      </c>
      <c r="D47" s="11">
        <v>611</v>
      </c>
    </row>
    <row r="48" spans="2:7" ht="15.75" x14ac:dyDescent="0.25">
      <c r="B48" s="9">
        <v>3</v>
      </c>
      <c r="C48" s="10" t="s">
        <v>34</v>
      </c>
      <c r="D48" s="11">
        <v>0</v>
      </c>
    </row>
    <row r="49" spans="2:7" ht="15.75" x14ac:dyDescent="0.25">
      <c r="B49" s="9">
        <v>4</v>
      </c>
      <c r="C49" s="10" t="s">
        <v>33</v>
      </c>
      <c r="D49" s="11">
        <v>110</v>
      </c>
    </row>
    <row r="50" spans="2:7" ht="15.75" x14ac:dyDescent="0.25">
      <c r="B50" s="9">
        <v>5</v>
      </c>
      <c r="C50" s="10" t="s">
        <v>12</v>
      </c>
      <c r="D50" s="11">
        <v>0</v>
      </c>
    </row>
    <row r="51" spans="2:7" ht="15.75" x14ac:dyDescent="0.25">
      <c r="B51" s="66" t="s">
        <v>24</v>
      </c>
      <c r="C51" s="66"/>
      <c r="D51" s="7">
        <f>SUM(D46:D50)</f>
        <v>724</v>
      </c>
    </row>
    <row r="55" spans="2:7" x14ac:dyDescent="0.25">
      <c r="G55" s="22" t="s">
        <v>44</v>
      </c>
    </row>
    <row r="57" spans="2:7" s="2" customFormat="1" x14ac:dyDescent="0.25">
      <c r="B57"/>
      <c r="C57"/>
      <c r="D57"/>
    </row>
    <row r="58" spans="2:7" s="2" customFormat="1" x14ac:dyDescent="0.25">
      <c r="B58"/>
      <c r="C58"/>
      <c r="D58"/>
    </row>
    <row r="59" spans="2:7" s="2" customFormat="1" x14ac:dyDescent="0.25"/>
    <row r="60" spans="2:7" s="2" customFormat="1" x14ac:dyDescent="0.25"/>
    <row r="61" spans="2:7" x14ac:dyDescent="0.25">
      <c r="B61" s="2"/>
      <c r="C61" s="2"/>
      <c r="D61" s="2"/>
    </row>
    <row r="62" spans="2:7" x14ac:dyDescent="0.25">
      <c r="B62" s="2"/>
      <c r="C62" s="2"/>
      <c r="D62" s="2"/>
    </row>
    <row r="63" spans="2:7" ht="15.75" x14ac:dyDescent="0.25">
      <c r="B63" s="20" t="s">
        <v>29</v>
      </c>
    </row>
    <row r="64" spans="2:7" ht="15.75" x14ac:dyDescent="0.25">
      <c r="B64" s="66" t="s">
        <v>13</v>
      </c>
      <c r="C64" s="66"/>
      <c r="D64" s="66"/>
    </row>
    <row r="65" spans="2:7" ht="15.75" x14ac:dyDescent="0.25">
      <c r="B65" s="17">
        <v>1</v>
      </c>
      <c r="C65" s="18" t="s">
        <v>14</v>
      </c>
      <c r="D65" s="19">
        <v>605</v>
      </c>
    </row>
    <row r="66" spans="2:7" ht="31.5" x14ac:dyDescent="0.25">
      <c r="B66" s="17">
        <v>2</v>
      </c>
      <c r="C66" s="18" t="s">
        <v>15</v>
      </c>
      <c r="D66" s="19">
        <v>0</v>
      </c>
      <c r="G66" s="21" t="s">
        <v>30</v>
      </c>
    </row>
    <row r="67" spans="2:7" ht="31.5" x14ac:dyDescent="0.25">
      <c r="B67" s="17">
        <v>3</v>
      </c>
      <c r="C67" s="18" t="s">
        <v>16</v>
      </c>
      <c r="D67" s="19">
        <v>2</v>
      </c>
    </row>
    <row r="68" spans="2:7" ht="31.5" x14ac:dyDescent="0.25">
      <c r="B68" s="17">
        <v>4</v>
      </c>
      <c r="C68" s="18" t="s">
        <v>17</v>
      </c>
      <c r="D68" s="19">
        <v>117</v>
      </c>
    </row>
    <row r="69" spans="2:7" ht="31.5" x14ac:dyDescent="0.25">
      <c r="B69" s="17">
        <v>5</v>
      </c>
      <c r="C69" s="18" t="s">
        <v>18</v>
      </c>
      <c r="D69" s="19">
        <v>0</v>
      </c>
    </row>
    <row r="70" spans="2:7" ht="31.5" x14ac:dyDescent="0.25">
      <c r="B70" s="17">
        <v>6</v>
      </c>
      <c r="C70" s="18" t="s">
        <v>19</v>
      </c>
      <c r="D70" s="19">
        <v>0</v>
      </c>
      <c r="G70" s="22" t="s">
        <v>23</v>
      </c>
    </row>
    <row r="71" spans="2:7" ht="15.75" x14ac:dyDescent="0.25">
      <c r="B71" s="64" t="s">
        <v>24</v>
      </c>
      <c r="C71" s="65"/>
      <c r="D71" s="9">
        <f>SUM(D65:D70)</f>
        <v>724</v>
      </c>
    </row>
    <row r="74" spans="2:7" x14ac:dyDescent="0.25">
      <c r="G74" s="22" t="s">
        <v>44</v>
      </c>
    </row>
  </sheetData>
  <mergeCells count="17">
    <mergeCell ref="B1:N1"/>
    <mergeCell ref="B2:N2"/>
    <mergeCell ref="B4:N4"/>
    <mergeCell ref="B23:C23"/>
    <mergeCell ref="B22:C22"/>
    <mergeCell ref="B19:C19"/>
    <mergeCell ref="B18:C18"/>
    <mergeCell ref="B20:C20"/>
    <mergeCell ref="B21:C21"/>
    <mergeCell ref="B71:C71"/>
    <mergeCell ref="B64:D64"/>
    <mergeCell ref="B7:D7"/>
    <mergeCell ref="B16:C16"/>
    <mergeCell ref="B27:D27"/>
    <mergeCell ref="B32:C32"/>
    <mergeCell ref="B51:C51"/>
    <mergeCell ref="B45:D45"/>
  </mergeCells>
  <pageMargins left="0.7" right="0.7" top="0.75" bottom="0.75" header="0.3" footer="0.3"/>
  <pageSetup orientation="portrait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>
      <selection activeCell="F5" sqref="F5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46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45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31"/>
      <c r="C5" s="31"/>
      <c r="D5" s="31"/>
      <c r="E5" s="31"/>
      <c r="F5" s="31"/>
      <c r="G5" s="21" t="s">
        <v>22</v>
      </c>
      <c r="H5" s="31"/>
      <c r="I5" s="31"/>
      <c r="J5" s="31"/>
      <c r="K5" s="31"/>
      <c r="L5" s="31"/>
      <c r="M5" s="31"/>
      <c r="N5" s="31"/>
    </row>
    <row r="6" spans="1:16" ht="23.25" x14ac:dyDescent="0.35">
      <c r="B6" s="20" t="s">
        <v>21</v>
      </c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3.25" x14ac:dyDescent="0.35">
      <c r="B7" s="67" t="s">
        <v>8</v>
      </c>
      <c r="C7" s="67"/>
      <c r="D7" s="67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16" ht="23.25" x14ac:dyDescent="0.35">
      <c r="B8" s="33">
        <v>1</v>
      </c>
      <c r="C8" s="4" t="s">
        <v>1</v>
      </c>
      <c r="D8" s="19">
        <v>237</v>
      </c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6" ht="15.75" x14ac:dyDescent="0.25">
      <c r="B9" s="33">
        <v>2</v>
      </c>
      <c r="C9" s="5" t="s">
        <v>31</v>
      </c>
      <c r="D9" s="19">
        <v>247</v>
      </c>
    </row>
    <row r="10" spans="1:16" ht="15.75" x14ac:dyDescent="0.25">
      <c r="B10" s="33">
        <v>3</v>
      </c>
      <c r="C10" s="5" t="s">
        <v>2</v>
      </c>
      <c r="D10" s="19">
        <v>95</v>
      </c>
    </row>
    <row r="11" spans="1:16" ht="31.5" x14ac:dyDescent="0.25">
      <c r="B11" s="33">
        <v>4</v>
      </c>
      <c r="C11" s="4" t="s">
        <v>3</v>
      </c>
      <c r="D11" s="19">
        <v>3</v>
      </c>
    </row>
    <row r="12" spans="1:16" ht="15.75" x14ac:dyDescent="0.25">
      <c r="B12" s="33">
        <v>5</v>
      </c>
      <c r="C12" s="4" t="s">
        <v>4</v>
      </c>
      <c r="D12" s="19">
        <v>59</v>
      </c>
    </row>
    <row r="13" spans="1:16" ht="15.75" x14ac:dyDescent="0.25">
      <c r="B13" s="33">
        <v>6</v>
      </c>
      <c r="C13" s="4" t="s">
        <v>38</v>
      </c>
      <c r="D13" s="6">
        <v>0</v>
      </c>
    </row>
    <row r="14" spans="1:16" ht="15.75" x14ac:dyDescent="0.25">
      <c r="B14" s="33">
        <v>7</v>
      </c>
      <c r="C14" s="4" t="s">
        <v>39</v>
      </c>
      <c r="D14" s="19">
        <v>16</v>
      </c>
    </row>
    <row r="15" spans="1:16" ht="15.75" x14ac:dyDescent="0.25">
      <c r="B15" s="33">
        <v>8</v>
      </c>
      <c r="C15" s="4" t="s">
        <v>40</v>
      </c>
      <c r="D15" s="19">
        <v>8</v>
      </c>
    </row>
    <row r="16" spans="1:16" ht="15.75" x14ac:dyDescent="0.25">
      <c r="B16" s="66" t="s">
        <v>24</v>
      </c>
      <c r="C16" s="66"/>
      <c r="D16" s="27">
        <f>SUM(D8:D15)</f>
        <v>665</v>
      </c>
    </row>
    <row r="17" spans="2:7" x14ac:dyDescent="0.25">
      <c r="G17" s="22" t="s">
        <v>44</v>
      </c>
    </row>
    <row r="18" spans="2:7" ht="15.75" x14ac:dyDescent="0.25">
      <c r="B18" s="74" t="s">
        <v>35</v>
      </c>
      <c r="C18" s="75"/>
      <c r="D18" s="23">
        <v>665</v>
      </c>
    </row>
    <row r="19" spans="2:7" ht="15.75" x14ac:dyDescent="0.25">
      <c r="B19" s="74" t="s">
        <v>36</v>
      </c>
      <c r="C19" s="75"/>
      <c r="D19" s="23">
        <v>3</v>
      </c>
    </row>
    <row r="20" spans="2:7" ht="15.75" x14ac:dyDescent="0.25">
      <c r="B20" s="74" t="s">
        <v>41</v>
      </c>
      <c r="C20" s="75"/>
      <c r="D20" s="23">
        <v>59</v>
      </c>
    </row>
    <row r="21" spans="2:7" ht="15.75" x14ac:dyDescent="0.25">
      <c r="B21" s="74" t="s">
        <v>38</v>
      </c>
      <c r="C21" s="75"/>
      <c r="D21" s="23">
        <v>0</v>
      </c>
      <c r="G21" s="21" t="s">
        <v>26</v>
      </c>
    </row>
    <row r="22" spans="2:7" ht="15.75" x14ac:dyDescent="0.25">
      <c r="B22" s="74" t="s">
        <v>39</v>
      </c>
      <c r="C22" s="75"/>
      <c r="D22" s="23">
        <v>16</v>
      </c>
    </row>
    <row r="23" spans="2:7" ht="15.75" x14ac:dyDescent="0.25">
      <c r="B23" s="74" t="s">
        <v>37</v>
      </c>
      <c r="C23" s="75"/>
      <c r="D23" s="28">
        <f>(D18)-D19-D21-D20-D22</f>
        <v>587</v>
      </c>
    </row>
    <row r="26" spans="2:7" ht="15.75" x14ac:dyDescent="0.25">
      <c r="B26" s="20" t="s">
        <v>25</v>
      </c>
    </row>
    <row r="27" spans="2:7" ht="15.75" x14ac:dyDescent="0.25">
      <c r="B27" s="66" t="s">
        <v>9</v>
      </c>
      <c r="C27" s="66"/>
      <c r="D27" s="66"/>
    </row>
    <row r="28" spans="2:7" ht="15.75" x14ac:dyDescent="0.25">
      <c r="B28" s="32">
        <v>1</v>
      </c>
      <c r="C28" s="10" t="s">
        <v>5</v>
      </c>
      <c r="D28" s="11">
        <v>9</v>
      </c>
    </row>
    <row r="29" spans="2:7" ht="31.5" x14ac:dyDescent="0.25">
      <c r="B29" s="33">
        <v>2</v>
      </c>
      <c r="C29" s="12" t="s">
        <v>32</v>
      </c>
      <c r="D29" s="11">
        <v>557</v>
      </c>
    </row>
    <row r="30" spans="2:7" ht="15.75" x14ac:dyDescent="0.25">
      <c r="B30" s="32">
        <v>3</v>
      </c>
      <c r="C30" s="13" t="s">
        <v>6</v>
      </c>
      <c r="D30" s="14">
        <v>0</v>
      </c>
    </row>
    <row r="31" spans="2:7" ht="15.75" x14ac:dyDescent="0.25">
      <c r="B31" s="32">
        <v>4</v>
      </c>
      <c r="C31" s="10" t="s">
        <v>7</v>
      </c>
      <c r="D31" s="14">
        <v>21</v>
      </c>
    </row>
    <row r="32" spans="2:7" ht="15.75" x14ac:dyDescent="0.25">
      <c r="B32" s="68" t="s">
        <v>24</v>
      </c>
      <c r="C32" s="69"/>
      <c r="D32" s="33">
        <f>SUM(D28:D31)</f>
        <v>587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4" spans="2:7" ht="15.75" x14ac:dyDescent="0.25">
      <c r="B44" s="20" t="s">
        <v>27</v>
      </c>
      <c r="C44" s="15"/>
      <c r="D44" s="16"/>
    </row>
    <row r="45" spans="2:7" ht="15.75" x14ac:dyDescent="0.25">
      <c r="B45" s="67" t="s">
        <v>20</v>
      </c>
      <c r="C45" s="67"/>
      <c r="D45" s="67"/>
    </row>
    <row r="46" spans="2:7" ht="15.75" x14ac:dyDescent="0.25">
      <c r="B46" s="32">
        <v>1</v>
      </c>
      <c r="C46" s="10" t="s">
        <v>10</v>
      </c>
      <c r="D46" s="11">
        <v>1</v>
      </c>
    </row>
    <row r="47" spans="2:7" ht="15.75" x14ac:dyDescent="0.25">
      <c r="B47" s="32">
        <v>2</v>
      </c>
      <c r="C47" s="10" t="s">
        <v>11</v>
      </c>
      <c r="D47" s="11">
        <v>430</v>
      </c>
    </row>
    <row r="48" spans="2:7" ht="15.75" x14ac:dyDescent="0.25">
      <c r="B48" s="32">
        <v>3</v>
      </c>
      <c r="C48" s="10" t="s">
        <v>34</v>
      </c>
      <c r="D48" s="11">
        <v>0</v>
      </c>
    </row>
    <row r="49" spans="2:7" ht="15.75" x14ac:dyDescent="0.25">
      <c r="B49" s="32">
        <v>4</v>
      </c>
      <c r="C49" s="10" t="s">
        <v>33</v>
      </c>
      <c r="D49" s="11">
        <v>234</v>
      </c>
    </row>
    <row r="50" spans="2:7" ht="15.75" x14ac:dyDescent="0.25">
      <c r="B50" s="32">
        <v>5</v>
      </c>
      <c r="C50" s="10" t="s">
        <v>12</v>
      </c>
      <c r="D50" s="11">
        <v>0</v>
      </c>
    </row>
    <row r="51" spans="2:7" ht="15.75" x14ac:dyDescent="0.25">
      <c r="B51" s="66" t="s">
        <v>24</v>
      </c>
      <c r="C51" s="66"/>
      <c r="D51" s="7">
        <f>SUM(D46:D50)</f>
        <v>665</v>
      </c>
    </row>
    <row r="55" spans="2:7" x14ac:dyDescent="0.25">
      <c r="G55" s="22" t="s">
        <v>44</v>
      </c>
    </row>
    <row r="63" spans="2:7" ht="15.75" x14ac:dyDescent="0.25">
      <c r="B63" s="20" t="s">
        <v>29</v>
      </c>
    </row>
    <row r="64" spans="2:7" ht="15.75" x14ac:dyDescent="0.25">
      <c r="B64" s="66" t="s">
        <v>13</v>
      </c>
      <c r="C64" s="66"/>
      <c r="D64" s="66"/>
    </row>
    <row r="65" spans="2:7" ht="15.75" x14ac:dyDescent="0.25">
      <c r="B65" s="17">
        <v>1</v>
      </c>
      <c r="C65" s="18" t="s">
        <v>14</v>
      </c>
      <c r="D65" s="19">
        <v>365</v>
      </c>
    </row>
    <row r="66" spans="2:7" ht="31.5" x14ac:dyDescent="0.25">
      <c r="B66" s="17">
        <v>2</v>
      </c>
      <c r="C66" s="18" t="s">
        <v>15</v>
      </c>
      <c r="D66" s="19">
        <v>0</v>
      </c>
      <c r="G66" s="21" t="s">
        <v>30</v>
      </c>
    </row>
    <row r="67" spans="2:7" ht="31.5" x14ac:dyDescent="0.25">
      <c r="B67" s="17">
        <v>3</v>
      </c>
      <c r="C67" s="18" t="s">
        <v>16</v>
      </c>
      <c r="D67" s="19">
        <v>1</v>
      </c>
    </row>
    <row r="68" spans="2:7" ht="31.5" x14ac:dyDescent="0.25">
      <c r="B68" s="17">
        <v>4</v>
      </c>
      <c r="C68" s="18" t="s">
        <v>17</v>
      </c>
      <c r="D68" s="19">
        <v>221</v>
      </c>
    </row>
    <row r="69" spans="2:7" ht="31.5" x14ac:dyDescent="0.25">
      <c r="B69" s="17">
        <v>5</v>
      </c>
      <c r="C69" s="18" t="s">
        <v>18</v>
      </c>
      <c r="D69" s="19">
        <v>0</v>
      </c>
    </row>
    <row r="70" spans="2:7" ht="31.5" x14ac:dyDescent="0.25">
      <c r="B70" s="17">
        <v>6</v>
      </c>
      <c r="C70" s="18" t="s">
        <v>19</v>
      </c>
      <c r="D70" s="19">
        <v>0</v>
      </c>
      <c r="G70" s="22" t="s">
        <v>23</v>
      </c>
    </row>
    <row r="71" spans="2:7" ht="15.75" x14ac:dyDescent="0.25">
      <c r="B71" s="64" t="s">
        <v>24</v>
      </c>
      <c r="C71" s="65"/>
      <c r="D71" s="32">
        <f>SUM(D65:D70)</f>
        <v>587</v>
      </c>
    </row>
    <row r="74" spans="2:7" x14ac:dyDescent="0.25">
      <c r="G74" s="22" t="s">
        <v>44</v>
      </c>
    </row>
  </sheetData>
  <mergeCells count="17">
    <mergeCell ref="B71:C71"/>
    <mergeCell ref="B64:D64"/>
    <mergeCell ref="B7:D7"/>
    <mergeCell ref="B16:C16"/>
    <mergeCell ref="B27:D27"/>
    <mergeCell ref="B32:C32"/>
    <mergeCell ref="B51:C51"/>
    <mergeCell ref="B45:D45"/>
    <mergeCell ref="B1:N1"/>
    <mergeCell ref="B2:N2"/>
    <mergeCell ref="B4:N4"/>
    <mergeCell ref="B23:C23"/>
    <mergeCell ref="B22:C22"/>
    <mergeCell ref="B19:C19"/>
    <mergeCell ref="B18:C18"/>
    <mergeCell ref="B20:C20"/>
    <mergeCell ref="B21:C21"/>
  </mergeCells>
  <pageMargins left="0.7" right="0.7" top="0.75" bottom="0.75" header="0.3" footer="0.3"/>
  <pageSetup orientation="portrait" horizont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>
      <selection activeCell="F11" sqref="F11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48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47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36"/>
      <c r="C5" s="36"/>
      <c r="D5" s="36"/>
      <c r="E5" s="36"/>
      <c r="F5" s="36"/>
      <c r="G5" s="21" t="s">
        <v>22</v>
      </c>
      <c r="H5" s="36"/>
      <c r="I5" s="36"/>
      <c r="J5" s="36"/>
      <c r="K5" s="36"/>
      <c r="L5" s="36"/>
      <c r="M5" s="36"/>
      <c r="N5" s="36"/>
    </row>
    <row r="6" spans="1:16" ht="23.25" x14ac:dyDescent="0.35">
      <c r="B6" s="20" t="s">
        <v>21</v>
      </c>
      <c r="E6" s="36"/>
      <c r="F6" s="36"/>
      <c r="G6" s="36"/>
      <c r="H6" s="36"/>
      <c r="I6" s="36"/>
      <c r="J6" s="36"/>
      <c r="K6" s="36"/>
      <c r="L6" s="36"/>
      <c r="M6" s="36"/>
      <c r="N6" s="36"/>
    </row>
    <row r="7" spans="1:16" ht="23.25" x14ac:dyDescent="0.35">
      <c r="B7" s="67" t="s">
        <v>8</v>
      </c>
      <c r="C7" s="67"/>
      <c r="D7" s="67"/>
      <c r="E7" s="36"/>
      <c r="F7" s="36"/>
      <c r="G7" s="36"/>
      <c r="H7" s="36"/>
      <c r="I7" s="36"/>
      <c r="J7" s="36"/>
      <c r="K7" s="36"/>
      <c r="L7" s="36"/>
      <c r="M7" s="36"/>
      <c r="N7" s="36"/>
    </row>
    <row r="8" spans="1:16" ht="23.25" x14ac:dyDescent="0.35">
      <c r="B8" s="35">
        <v>1</v>
      </c>
      <c r="C8" s="4" t="s">
        <v>1</v>
      </c>
      <c r="D8" s="19">
        <v>545</v>
      </c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6" ht="15.75" x14ac:dyDescent="0.25">
      <c r="B9" s="35">
        <v>2</v>
      </c>
      <c r="C9" s="5" t="s">
        <v>31</v>
      </c>
      <c r="D9" s="19">
        <v>389</v>
      </c>
    </row>
    <row r="10" spans="1:16" ht="15.75" x14ac:dyDescent="0.25">
      <c r="B10" s="35">
        <v>3</v>
      </c>
      <c r="C10" s="5" t="s">
        <v>2</v>
      </c>
      <c r="D10" s="19">
        <v>230</v>
      </c>
    </row>
    <row r="11" spans="1:16" ht="31.5" x14ac:dyDescent="0.25">
      <c r="B11" s="35">
        <v>4</v>
      </c>
      <c r="C11" s="4" t="s">
        <v>3</v>
      </c>
      <c r="D11" s="19">
        <v>18</v>
      </c>
    </row>
    <row r="12" spans="1:16" ht="15.75" x14ac:dyDescent="0.25">
      <c r="B12" s="35">
        <v>5</v>
      </c>
      <c r="C12" s="4" t="s">
        <v>4</v>
      </c>
      <c r="D12" s="19">
        <v>92</v>
      </c>
    </row>
    <row r="13" spans="1:16" ht="15.75" x14ac:dyDescent="0.25">
      <c r="B13" s="35">
        <v>6</v>
      </c>
      <c r="C13" s="4" t="s">
        <v>38</v>
      </c>
      <c r="D13" s="6">
        <v>0</v>
      </c>
    </row>
    <row r="14" spans="1:16" ht="15.75" x14ac:dyDescent="0.25">
      <c r="B14" s="35">
        <v>7</v>
      </c>
      <c r="C14" s="4" t="s">
        <v>39</v>
      </c>
      <c r="D14" s="19">
        <v>15</v>
      </c>
    </row>
    <row r="15" spans="1:16" ht="15.75" x14ac:dyDescent="0.25">
      <c r="B15" s="35">
        <v>8</v>
      </c>
      <c r="C15" s="4" t="s">
        <v>40</v>
      </c>
      <c r="D15" s="19">
        <v>10</v>
      </c>
    </row>
    <row r="16" spans="1:16" ht="15.75" x14ac:dyDescent="0.25">
      <c r="B16" s="66" t="s">
        <v>24</v>
      </c>
      <c r="C16" s="66"/>
      <c r="D16" s="27">
        <f>SUM(D8:D15)</f>
        <v>1299</v>
      </c>
    </row>
    <row r="17" spans="2:7" x14ac:dyDescent="0.25">
      <c r="G17" s="22" t="s">
        <v>44</v>
      </c>
    </row>
    <row r="18" spans="2:7" ht="15.75" x14ac:dyDescent="0.25">
      <c r="B18" s="74" t="s">
        <v>35</v>
      </c>
      <c r="C18" s="75"/>
      <c r="D18" s="23">
        <v>1299</v>
      </c>
    </row>
    <row r="19" spans="2:7" ht="15.75" x14ac:dyDescent="0.25">
      <c r="B19" s="74" t="s">
        <v>36</v>
      </c>
      <c r="C19" s="75"/>
      <c r="D19" s="23">
        <v>18</v>
      </c>
    </row>
    <row r="20" spans="2:7" ht="15.75" x14ac:dyDescent="0.25">
      <c r="B20" s="74" t="s">
        <v>41</v>
      </c>
      <c r="C20" s="75"/>
      <c r="D20" s="23">
        <v>92</v>
      </c>
    </row>
    <row r="21" spans="2:7" ht="15.75" x14ac:dyDescent="0.25">
      <c r="B21" s="74" t="s">
        <v>38</v>
      </c>
      <c r="C21" s="75"/>
      <c r="D21" s="23">
        <v>0</v>
      </c>
      <c r="G21" s="21" t="s">
        <v>26</v>
      </c>
    </row>
    <row r="22" spans="2:7" ht="15.75" x14ac:dyDescent="0.25">
      <c r="B22" s="74" t="s">
        <v>39</v>
      </c>
      <c r="C22" s="75"/>
      <c r="D22" s="23">
        <v>15</v>
      </c>
    </row>
    <row r="23" spans="2:7" ht="15.75" x14ac:dyDescent="0.25">
      <c r="B23" s="74" t="s">
        <v>37</v>
      </c>
      <c r="C23" s="75"/>
      <c r="D23" s="28">
        <f>(D18)-D19-D21-D20-D22</f>
        <v>1174</v>
      </c>
    </row>
    <row r="26" spans="2:7" ht="15.75" x14ac:dyDescent="0.25">
      <c r="B26" s="20" t="s">
        <v>25</v>
      </c>
    </row>
    <row r="27" spans="2:7" ht="15.75" x14ac:dyDescent="0.25">
      <c r="B27" s="66" t="s">
        <v>9</v>
      </c>
      <c r="C27" s="66"/>
      <c r="D27" s="66"/>
    </row>
    <row r="28" spans="2:7" ht="15.75" x14ac:dyDescent="0.25">
      <c r="B28" s="34">
        <v>1</v>
      </c>
      <c r="C28" s="10" t="s">
        <v>5</v>
      </c>
      <c r="D28" s="11">
        <v>14</v>
      </c>
    </row>
    <row r="29" spans="2:7" ht="31.5" x14ac:dyDescent="0.25">
      <c r="B29" s="35">
        <v>2</v>
      </c>
      <c r="C29" s="12" t="s">
        <v>32</v>
      </c>
      <c r="D29" s="11">
        <v>1160</v>
      </c>
    </row>
    <row r="30" spans="2:7" ht="15.75" x14ac:dyDescent="0.25">
      <c r="B30" s="34">
        <v>3</v>
      </c>
      <c r="C30" s="13" t="s">
        <v>6</v>
      </c>
      <c r="D30" s="14">
        <v>0</v>
      </c>
    </row>
    <row r="31" spans="2:7" ht="15.75" x14ac:dyDescent="0.25">
      <c r="B31" s="34">
        <v>4</v>
      </c>
      <c r="C31" s="10" t="s">
        <v>7</v>
      </c>
      <c r="D31" s="14">
        <v>0</v>
      </c>
    </row>
    <row r="32" spans="2:7" ht="15.75" x14ac:dyDescent="0.25">
      <c r="B32" s="68" t="s">
        <v>24</v>
      </c>
      <c r="C32" s="69"/>
      <c r="D32" s="35">
        <f>SUM(D28:D31)</f>
        <v>1174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4" spans="2:7" ht="15.75" x14ac:dyDescent="0.25">
      <c r="B44" s="20" t="s">
        <v>27</v>
      </c>
      <c r="C44" s="15"/>
      <c r="D44" s="16"/>
    </row>
    <row r="45" spans="2:7" ht="15.75" x14ac:dyDescent="0.25">
      <c r="B45" s="67" t="s">
        <v>20</v>
      </c>
      <c r="C45" s="67"/>
      <c r="D45" s="67"/>
    </row>
    <row r="46" spans="2:7" ht="15.75" x14ac:dyDescent="0.25">
      <c r="B46" s="34">
        <v>1</v>
      </c>
      <c r="C46" s="10" t="s">
        <v>10</v>
      </c>
      <c r="D46" s="11">
        <v>0</v>
      </c>
    </row>
    <row r="47" spans="2:7" ht="15.75" x14ac:dyDescent="0.25">
      <c r="B47" s="34">
        <v>2</v>
      </c>
      <c r="C47" s="10" t="s">
        <v>11</v>
      </c>
      <c r="D47" s="11">
        <v>1062</v>
      </c>
    </row>
    <row r="48" spans="2:7" ht="15.75" x14ac:dyDescent="0.25">
      <c r="B48" s="34">
        <v>3</v>
      </c>
      <c r="C48" s="10" t="s">
        <v>34</v>
      </c>
      <c r="D48" s="11">
        <v>0</v>
      </c>
    </row>
    <row r="49" spans="2:7" ht="15.75" x14ac:dyDescent="0.25">
      <c r="B49" s="34">
        <v>4</v>
      </c>
      <c r="C49" s="10" t="s">
        <v>33</v>
      </c>
      <c r="D49" s="11">
        <v>237</v>
      </c>
    </row>
    <row r="50" spans="2:7" ht="15.75" x14ac:dyDescent="0.25">
      <c r="B50" s="34">
        <v>5</v>
      </c>
      <c r="C50" s="10" t="s">
        <v>12</v>
      </c>
      <c r="D50" s="11">
        <v>0</v>
      </c>
    </row>
    <row r="51" spans="2:7" ht="15.75" x14ac:dyDescent="0.25">
      <c r="B51" s="66" t="s">
        <v>24</v>
      </c>
      <c r="C51" s="66"/>
      <c r="D51" s="7">
        <f>SUM(D46:D50)</f>
        <v>1299</v>
      </c>
    </row>
    <row r="55" spans="2:7" x14ac:dyDescent="0.25">
      <c r="G55" s="22" t="s">
        <v>44</v>
      </c>
    </row>
    <row r="63" spans="2:7" ht="15.75" x14ac:dyDescent="0.25">
      <c r="B63" s="20" t="s">
        <v>29</v>
      </c>
    </row>
    <row r="64" spans="2:7" ht="15.75" x14ac:dyDescent="0.25">
      <c r="B64" s="66" t="s">
        <v>13</v>
      </c>
      <c r="C64" s="66"/>
      <c r="D64" s="66"/>
    </row>
    <row r="65" spans="2:7" ht="15.75" x14ac:dyDescent="0.25">
      <c r="B65" s="17">
        <v>1</v>
      </c>
      <c r="C65" s="18" t="s">
        <v>14</v>
      </c>
      <c r="D65" s="19">
        <v>838</v>
      </c>
    </row>
    <row r="66" spans="2:7" ht="31.5" x14ac:dyDescent="0.25">
      <c r="B66" s="17">
        <v>2</v>
      </c>
      <c r="C66" s="18" t="s">
        <v>15</v>
      </c>
      <c r="D66" s="19">
        <v>0</v>
      </c>
      <c r="G66" s="21" t="s">
        <v>30</v>
      </c>
    </row>
    <row r="67" spans="2:7" ht="31.5" x14ac:dyDescent="0.25">
      <c r="B67" s="17">
        <v>3</v>
      </c>
      <c r="C67" s="18" t="s">
        <v>16</v>
      </c>
      <c r="D67" s="19">
        <v>0</v>
      </c>
    </row>
    <row r="68" spans="2:7" ht="31.5" x14ac:dyDescent="0.25">
      <c r="B68" s="17">
        <v>4</v>
      </c>
      <c r="C68" s="18" t="s">
        <v>17</v>
      </c>
      <c r="D68" s="19">
        <v>336</v>
      </c>
    </row>
    <row r="69" spans="2:7" ht="31.5" x14ac:dyDescent="0.25">
      <c r="B69" s="17">
        <v>5</v>
      </c>
      <c r="C69" s="18" t="s">
        <v>18</v>
      </c>
      <c r="D69" s="19">
        <v>0</v>
      </c>
    </row>
    <row r="70" spans="2:7" ht="31.5" x14ac:dyDescent="0.25">
      <c r="B70" s="17">
        <v>6</v>
      </c>
      <c r="C70" s="18" t="s">
        <v>19</v>
      </c>
      <c r="D70" s="19">
        <v>0</v>
      </c>
      <c r="G70" s="22" t="s">
        <v>23</v>
      </c>
    </row>
    <row r="71" spans="2:7" ht="15.75" x14ac:dyDescent="0.25">
      <c r="B71" s="64" t="s">
        <v>24</v>
      </c>
      <c r="C71" s="65"/>
      <c r="D71" s="34">
        <f>SUM(D65:D70)</f>
        <v>1174</v>
      </c>
    </row>
    <row r="74" spans="2:7" x14ac:dyDescent="0.25">
      <c r="G74" s="22" t="s">
        <v>44</v>
      </c>
    </row>
  </sheetData>
  <mergeCells count="17">
    <mergeCell ref="B71:C71"/>
    <mergeCell ref="B64:D64"/>
    <mergeCell ref="B7:D7"/>
    <mergeCell ref="B16:C16"/>
    <mergeCell ref="B27:D27"/>
    <mergeCell ref="B32:C32"/>
    <mergeCell ref="B51:C51"/>
    <mergeCell ref="B45:D45"/>
    <mergeCell ref="B1:N1"/>
    <mergeCell ref="B2:N2"/>
    <mergeCell ref="B4:N4"/>
    <mergeCell ref="B23:C23"/>
    <mergeCell ref="B22:C22"/>
    <mergeCell ref="B19:C19"/>
    <mergeCell ref="B18:C18"/>
    <mergeCell ref="B20:C20"/>
    <mergeCell ref="B21:C21"/>
  </mergeCells>
  <pageMargins left="0.7" right="0.7" top="0.75" bottom="0.75" header="0.3" footer="0.3"/>
  <pageSetup orientation="portrait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>
      <selection activeCell="F16" sqref="F16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50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49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37"/>
      <c r="C5" s="37"/>
      <c r="D5" s="37"/>
      <c r="E5" s="37"/>
      <c r="F5" s="37"/>
      <c r="G5" s="21" t="s">
        <v>22</v>
      </c>
      <c r="H5" s="37"/>
      <c r="I5" s="37"/>
      <c r="J5" s="37"/>
      <c r="K5" s="37"/>
      <c r="L5" s="37"/>
      <c r="M5" s="37"/>
      <c r="N5" s="37"/>
    </row>
    <row r="6" spans="1:16" ht="23.25" x14ac:dyDescent="0.35">
      <c r="B6" s="20" t="s">
        <v>21</v>
      </c>
      <c r="E6" s="37"/>
      <c r="F6" s="37"/>
      <c r="G6" s="37"/>
      <c r="H6" s="37"/>
      <c r="I6" s="37"/>
      <c r="J6" s="37"/>
      <c r="K6" s="37"/>
      <c r="L6" s="37"/>
      <c r="M6" s="37"/>
      <c r="N6" s="37"/>
    </row>
    <row r="7" spans="1:16" ht="23.25" x14ac:dyDescent="0.35">
      <c r="B7" s="67" t="s">
        <v>8</v>
      </c>
      <c r="C7" s="67"/>
      <c r="D7" s="67"/>
      <c r="E7" s="37"/>
      <c r="F7" s="37"/>
      <c r="G7" s="37"/>
      <c r="H7" s="37"/>
      <c r="I7" s="37"/>
      <c r="J7" s="37"/>
      <c r="K7" s="37"/>
      <c r="L7" s="37"/>
      <c r="M7" s="37"/>
      <c r="N7" s="37"/>
    </row>
    <row r="8" spans="1:16" ht="23.25" x14ac:dyDescent="0.35">
      <c r="B8" s="39">
        <v>1</v>
      </c>
      <c r="C8" s="4" t="s">
        <v>1</v>
      </c>
      <c r="D8" s="19">
        <v>561</v>
      </c>
      <c r="E8" s="37"/>
      <c r="F8" s="37"/>
      <c r="G8" s="37"/>
      <c r="H8" s="37"/>
      <c r="I8" s="37"/>
      <c r="J8" s="37"/>
      <c r="K8" s="37"/>
      <c r="L8" s="37"/>
      <c r="M8" s="37"/>
      <c r="N8" s="37"/>
    </row>
    <row r="9" spans="1:16" ht="15.75" x14ac:dyDescent="0.25">
      <c r="B9" s="39">
        <v>2</v>
      </c>
      <c r="C9" s="5" t="s">
        <v>31</v>
      </c>
      <c r="D9" s="19">
        <v>579</v>
      </c>
    </row>
    <row r="10" spans="1:16" ht="15.75" x14ac:dyDescent="0.25">
      <c r="B10" s="39">
        <v>3</v>
      </c>
      <c r="C10" s="5" t="s">
        <v>2</v>
      </c>
      <c r="D10" s="19">
        <v>157</v>
      </c>
    </row>
    <row r="11" spans="1:16" ht="31.5" x14ac:dyDescent="0.25">
      <c r="B11" s="39">
        <v>4</v>
      </c>
      <c r="C11" s="4" t="s">
        <v>3</v>
      </c>
      <c r="D11" s="19">
        <v>18</v>
      </c>
    </row>
    <row r="12" spans="1:16" ht="15.75" x14ac:dyDescent="0.25">
      <c r="B12" s="39">
        <v>5</v>
      </c>
      <c r="C12" s="4" t="s">
        <v>4</v>
      </c>
      <c r="D12" s="19">
        <v>189</v>
      </c>
    </row>
    <row r="13" spans="1:16" ht="15.75" x14ac:dyDescent="0.25">
      <c r="B13" s="39">
        <v>6</v>
      </c>
      <c r="C13" s="4" t="s">
        <v>38</v>
      </c>
      <c r="D13" s="6">
        <v>0</v>
      </c>
    </row>
    <row r="14" spans="1:16" ht="15.75" x14ac:dyDescent="0.25">
      <c r="B14" s="39">
        <v>7</v>
      </c>
      <c r="C14" s="4" t="s">
        <v>39</v>
      </c>
      <c r="D14" s="19">
        <v>4</v>
      </c>
    </row>
    <row r="15" spans="1:16" ht="15.75" x14ac:dyDescent="0.25">
      <c r="B15" s="39">
        <v>8</v>
      </c>
      <c r="C15" s="4" t="s">
        <v>40</v>
      </c>
      <c r="D15" s="19">
        <v>0</v>
      </c>
    </row>
    <row r="16" spans="1:16" ht="15.75" x14ac:dyDescent="0.25">
      <c r="B16" s="66" t="s">
        <v>24</v>
      </c>
      <c r="C16" s="66"/>
      <c r="D16" s="27">
        <f>SUM(D8:D15)</f>
        <v>1508</v>
      </c>
    </row>
    <row r="17" spans="2:7" x14ac:dyDescent="0.25">
      <c r="G17" s="22" t="s">
        <v>44</v>
      </c>
    </row>
    <row r="18" spans="2:7" ht="15.75" x14ac:dyDescent="0.25">
      <c r="B18" s="74" t="s">
        <v>35</v>
      </c>
      <c r="C18" s="75"/>
      <c r="D18" s="23">
        <v>1508</v>
      </c>
    </row>
    <row r="19" spans="2:7" ht="15.75" x14ac:dyDescent="0.25">
      <c r="B19" s="74" t="s">
        <v>36</v>
      </c>
      <c r="C19" s="75"/>
      <c r="D19" s="23">
        <v>18</v>
      </c>
    </row>
    <row r="20" spans="2:7" ht="15.75" x14ac:dyDescent="0.25">
      <c r="B20" s="74" t="s">
        <v>41</v>
      </c>
      <c r="C20" s="75"/>
      <c r="D20" s="23">
        <v>189</v>
      </c>
    </row>
    <row r="21" spans="2:7" ht="15.75" x14ac:dyDescent="0.25">
      <c r="B21" s="74" t="s">
        <v>38</v>
      </c>
      <c r="C21" s="75"/>
      <c r="D21" s="23">
        <v>0</v>
      </c>
      <c r="G21" s="21" t="s">
        <v>26</v>
      </c>
    </row>
    <row r="22" spans="2:7" ht="15.75" x14ac:dyDescent="0.25">
      <c r="B22" s="74" t="s">
        <v>39</v>
      </c>
      <c r="C22" s="75"/>
      <c r="D22" s="23">
        <v>4</v>
      </c>
    </row>
    <row r="23" spans="2:7" ht="15.75" x14ac:dyDescent="0.25">
      <c r="B23" s="74" t="s">
        <v>37</v>
      </c>
      <c r="C23" s="75"/>
      <c r="D23" s="28">
        <f>(D18)-D19-D21-D20-D22</f>
        <v>1297</v>
      </c>
    </row>
    <row r="26" spans="2:7" ht="15.75" x14ac:dyDescent="0.25">
      <c r="B26" s="20" t="s">
        <v>25</v>
      </c>
    </row>
    <row r="27" spans="2:7" ht="15.75" x14ac:dyDescent="0.25">
      <c r="B27" s="66" t="s">
        <v>9</v>
      </c>
      <c r="C27" s="66"/>
      <c r="D27" s="66"/>
    </row>
    <row r="28" spans="2:7" ht="15.75" x14ac:dyDescent="0.25">
      <c r="B28" s="38">
        <v>1</v>
      </c>
      <c r="C28" s="10" t="s">
        <v>5</v>
      </c>
      <c r="D28" s="11">
        <v>38</v>
      </c>
    </row>
    <row r="29" spans="2:7" ht="31.5" x14ac:dyDescent="0.25">
      <c r="B29" s="39">
        <v>2</v>
      </c>
      <c r="C29" s="12" t="s">
        <v>32</v>
      </c>
      <c r="D29" s="11">
        <v>1026</v>
      </c>
    </row>
    <row r="30" spans="2:7" ht="15.75" x14ac:dyDescent="0.25">
      <c r="B30" s="38">
        <v>3</v>
      </c>
      <c r="C30" s="13" t="s">
        <v>6</v>
      </c>
      <c r="D30" s="14">
        <v>7</v>
      </c>
    </row>
    <row r="31" spans="2:7" ht="15.75" x14ac:dyDescent="0.25">
      <c r="B31" s="38">
        <v>4</v>
      </c>
      <c r="C31" s="10" t="s">
        <v>7</v>
      </c>
      <c r="D31" s="14">
        <v>69</v>
      </c>
    </row>
    <row r="32" spans="2:7" ht="15.75" x14ac:dyDescent="0.25">
      <c r="B32" s="68" t="s">
        <v>24</v>
      </c>
      <c r="C32" s="69"/>
      <c r="D32" s="39">
        <f>SUM(D28:D31)</f>
        <v>1140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4" spans="2:7" ht="15.75" x14ac:dyDescent="0.25">
      <c r="B44" s="20" t="s">
        <v>27</v>
      </c>
      <c r="C44" s="15"/>
      <c r="D44" s="16"/>
    </row>
    <row r="45" spans="2:7" ht="15.75" x14ac:dyDescent="0.25">
      <c r="B45" s="67" t="s">
        <v>20</v>
      </c>
      <c r="C45" s="67"/>
      <c r="D45" s="67"/>
    </row>
    <row r="46" spans="2:7" ht="15.75" x14ac:dyDescent="0.25">
      <c r="B46" s="38">
        <v>1</v>
      </c>
      <c r="C46" s="10" t="s">
        <v>10</v>
      </c>
      <c r="D46" s="11">
        <v>12</v>
      </c>
    </row>
    <row r="47" spans="2:7" ht="15.75" x14ac:dyDescent="0.25">
      <c r="B47" s="38">
        <v>2</v>
      </c>
      <c r="C47" s="10" t="s">
        <v>11</v>
      </c>
      <c r="D47" s="11">
        <v>1324</v>
      </c>
    </row>
    <row r="48" spans="2:7" ht="15.75" x14ac:dyDescent="0.25">
      <c r="B48" s="38">
        <v>3</v>
      </c>
      <c r="C48" s="10" t="s">
        <v>34</v>
      </c>
      <c r="D48" s="11">
        <v>0</v>
      </c>
    </row>
    <row r="49" spans="2:7" ht="15.75" x14ac:dyDescent="0.25">
      <c r="B49" s="38">
        <v>4</v>
      </c>
      <c r="C49" s="10" t="s">
        <v>33</v>
      </c>
      <c r="D49" s="11">
        <v>172</v>
      </c>
    </row>
    <row r="50" spans="2:7" ht="15.75" x14ac:dyDescent="0.25">
      <c r="B50" s="38">
        <v>5</v>
      </c>
      <c r="C50" s="10" t="s">
        <v>12</v>
      </c>
      <c r="D50" s="11">
        <v>0</v>
      </c>
    </row>
    <row r="51" spans="2:7" ht="15.75" x14ac:dyDescent="0.25">
      <c r="B51" s="66" t="s">
        <v>24</v>
      </c>
      <c r="C51" s="66"/>
      <c r="D51" s="7">
        <f>SUM(D46:D50)</f>
        <v>1508</v>
      </c>
    </row>
    <row r="55" spans="2:7" x14ac:dyDescent="0.25">
      <c r="G55" s="22" t="s">
        <v>44</v>
      </c>
    </row>
    <row r="63" spans="2:7" ht="15.75" x14ac:dyDescent="0.25">
      <c r="B63" s="20" t="s">
        <v>29</v>
      </c>
    </row>
    <row r="64" spans="2:7" ht="15.75" x14ac:dyDescent="0.25">
      <c r="B64" s="66" t="s">
        <v>13</v>
      </c>
      <c r="C64" s="66"/>
      <c r="D64" s="66"/>
    </row>
    <row r="65" spans="2:7" ht="15.75" x14ac:dyDescent="0.25">
      <c r="B65" s="17">
        <v>1</v>
      </c>
      <c r="C65" s="18" t="s">
        <v>14</v>
      </c>
      <c r="D65" s="19">
        <v>649</v>
      </c>
    </row>
    <row r="66" spans="2:7" ht="31.5" x14ac:dyDescent="0.25">
      <c r="B66" s="17">
        <v>2</v>
      </c>
      <c r="C66" s="18" t="s">
        <v>15</v>
      </c>
      <c r="D66" s="19">
        <v>2</v>
      </c>
      <c r="G66" s="21" t="s">
        <v>30</v>
      </c>
    </row>
    <row r="67" spans="2:7" ht="31.5" x14ac:dyDescent="0.25">
      <c r="B67" s="17">
        <v>3</v>
      </c>
      <c r="C67" s="18" t="s">
        <v>16</v>
      </c>
      <c r="D67" s="19">
        <v>0</v>
      </c>
    </row>
    <row r="68" spans="2:7" ht="31.5" x14ac:dyDescent="0.25">
      <c r="B68" s="17">
        <v>4</v>
      </c>
      <c r="C68" s="18" t="s">
        <v>17</v>
      </c>
      <c r="D68" s="19">
        <v>489</v>
      </c>
    </row>
    <row r="69" spans="2:7" ht="31.5" x14ac:dyDescent="0.25">
      <c r="B69" s="17">
        <v>5</v>
      </c>
      <c r="C69" s="18" t="s">
        <v>18</v>
      </c>
      <c r="D69" s="19">
        <v>0</v>
      </c>
    </row>
    <row r="70" spans="2:7" ht="31.5" x14ac:dyDescent="0.25">
      <c r="B70" s="17">
        <v>6</v>
      </c>
      <c r="C70" s="18" t="s">
        <v>19</v>
      </c>
      <c r="D70" s="19">
        <v>0</v>
      </c>
      <c r="G70" s="22" t="s">
        <v>23</v>
      </c>
    </row>
    <row r="71" spans="2:7" ht="15.75" x14ac:dyDescent="0.25">
      <c r="B71" s="64" t="s">
        <v>24</v>
      </c>
      <c r="C71" s="65"/>
      <c r="D71" s="38">
        <f>SUM(D65:D70)</f>
        <v>1140</v>
      </c>
    </row>
    <row r="74" spans="2:7" x14ac:dyDescent="0.25">
      <c r="G74" s="22" t="s">
        <v>44</v>
      </c>
    </row>
  </sheetData>
  <mergeCells count="17">
    <mergeCell ref="B71:C71"/>
    <mergeCell ref="B64:D64"/>
    <mergeCell ref="B7:D7"/>
    <mergeCell ref="B16:C16"/>
    <mergeCell ref="B27:D27"/>
    <mergeCell ref="B32:C32"/>
    <mergeCell ref="B51:C51"/>
    <mergeCell ref="B45:D45"/>
    <mergeCell ref="B1:N1"/>
    <mergeCell ref="B2:N2"/>
    <mergeCell ref="B4:N4"/>
    <mergeCell ref="B23:C23"/>
    <mergeCell ref="B22:C22"/>
    <mergeCell ref="B19:C19"/>
    <mergeCell ref="B18:C18"/>
    <mergeCell ref="B20:C20"/>
    <mergeCell ref="B21:C21"/>
  </mergeCells>
  <pageMargins left="0.7" right="0.7" top="0.75" bottom="0.75" header="0.3" footer="0.3"/>
  <pageSetup orientation="portrait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>
      <selection activeCell="E6" sqref="E6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52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51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42"/>
      <c r="C5" s="42"/>
      <c r="D5" s="42"/>
      <c r="E5" s="42"/>
      <c r="F5" s="42"/>
      <c r="G5" s="21" t="s">
        <v>22</v>
      </c>
      <c r="H5" s="42"/>
      <c r="I5" s="42"/>
      <c r="J5" s="42"/>
      <c r="K5" s="42"/>
      <c r="L5" s="42"/>
      <c r="M5" s="42"/>
      <c r="N5" s="42"/>
    </row>
    <row r="6" spans="1:16" ht="23.25" x14ac:dyDescent="0.35">
      <c r="B6" s="20" t="s">
        <v>21</v>
      </c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1:16" ht="23.25" x14ac:dyDescent="0.35">
      <c r="B7" s="67" t="s">
        <v>8</v>
      </c>
      <c r="C7" s="67"/>
      <c r="D7" s="67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1:16" ht="23.25" x14ac:dyDescent="0.35">
      <c r="B8" s="41">
        <v>1</v>
      </c>
      <c r="C8" s="4" t="s">
        <v>1</v>
      </c>
      <c r="D8" s="19">
        <v>288</v>
      </c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1:16" ht="15.75" x14ac:dyDescent="0.25">
      <c r="B9" s="41">
        <v>2</v>
      </c>
      <c r="C9" s="5" t="s">
        <v>31</v>
      </c>
      <c r="D9" s="19">
        <v>389</v>
      </c>
    </row>
    <row r="10" spans="1:16" ht="15.75" x14ac:dyDescent="0.25">
      <c r="B10" s="41">
        <v>3</v>
      </c>
      <c r="C10" s="5" t="s">
        <v>2</v>
      </c>
      <c r="D10" s="19">
        <v>116</v>
      </c>
    </row>
    <row r="11" spans="1:16" ht="31.5" x14ac:dyDescent="0.25">
      <c r="B11" s="41">
        <v>4</v>
      </c>
      <c r="C11" s="4" t="s">
        <v>3</v>
      </c>
      <c r="D11" s="19">
        <v>24</v>
      </c>
    </row>
    <row r="12" spans="1:16" ht="15.75" x14ac:dyDescent="0.25">
      <c r="B12" s="41">
        <v>5</v>
      </c>
      <c r="C12" s="4" t="s">
        <v>4</v>
      </c>
      <c r="D12" s="19">
        <v>82</v>
      </c>
    </row>
    <row r="13" spans="1:16" ht="15.75" x14ac:dyDescent="0.25">
      <c r="B13" s="41">
        <v>6</v>
      </c>
      <c r="C13" s="4" t="s">
        <v>38</v>
      </c>
      <c r="D13" s="6">
        <v>0</v>
      </c>
    </row>
    <row r="14" spans="1:16" ht="15.75" x14ac:dyDescent="0.25">
      <c r="B14" s="41">
        <v>7</v>
      </c>
      <c r="C14" s="4" t="s">
        <v>39</v>
      </c>
      <c r="D14" s="19">
        <v>8</v>
      </c>
    </row>
    <row r="15" spans="1:16" ht="15.75" x14ac:dyDescent="0.25">
      <c r="B15" s="41">
        <v>8</v>
      </c>
      <c r="C15" s="4" t="s">
        <v>40</v>
      </c>
      <c r="D15" s="19">
        <v>13</v>
      </c>
    </row>
    <row r="16" spans="1:16" ht="15.75" x14ac:dyDescent="0.25">
      <c r="B16" s="66" t="s">
        <v>24</v>
      </c>
      <c r="C16" s="66"/>
      <c r="D16" s="27">
        <f>SUM(D8:D15)</f>
        <v>920</v>
      </c>
    </row>
    <row r="17" spans="2:7" x14ac:dyDescent="0.25">
      <c r="G17" s="22" t="s">
        <v>44</v>
      </c>
    </row>
    <row r="18" spans="2:7" ht="15.75" x14ac:dyDescent="0.25">
      <c r="B18" s="74" t="s">
        <v>35</v>
      </c>
      <c r="C18" s="75"/>
      <c r="D18" s="23">
        <v>920</v>
      </c>
    </row>
    <row r="19" spans="2:7" ht="15.75" x14ac:dyDescent="0.25">
      <c r="B19" s="74" t="s">
        <v>36</v>
      </c>
      <c r="C19" s="75"/>
      <c r="D19" s="23">
        <v>24</v>
      </c>
    </row>
    <row r="20" spans="2:7" ht="15.75" x14ac:dyDescent="0.25">
      <c r="B20" s="74" t="s">
        <v>41</v>
      </c>
      <c r="C20" s="75"/>
      <c r="D20" s="23">
        <v>82</v>
      </c>
    </row>
    <row r="21" spans="2:7" ht="15.75" x14ac:dyDescent="0.25">
      <c r="B21" s="74" t="s">
        <v>38</v>
      </c>
      <c r="C21" s="75"/>
      <c r="D21" s="23">
        <v>0</v>
      </c>
      <c r="G21" s="21" t="s">
        <v>26</v>
      </c>
    </row>
    <row r="22" spans="2:7" ht="15.75" x14ac:dyDescent="0.25">
      <c r="B22" s="74" t="s">
        <v>39</v>
      </c>
      <c r="C22" s="75"/>
      <c r="D22" s="23">
        <v>8</v>
      </c>
    </row>
    <row r="23" spans="2:7" ht="15.75" x14ac:dyDescent="0.25">
      <c r="B23" s="74" t="s">
        <v>37</v>
      </c>
      <c r="C23" s="75"/>
      <c r="D23" s="28">
        <f>(D18)-D19-D21-D20-D22</f>
        <v>806</v>
      </c>
    </row>
    <row r="26" spans="2:7" ht="15.75" x14ac:dyDescent="0.25">
      <c r="B26" s="20" t="s">
        <v>25</v>
      </c>
    </row>
    <row r="27" spans="2:7" ht="15.75" x14ac:dyDescent="0.25">
      <c r="B27" s="66" t="s">
        <v>9</v>
      </c>
      <c r="C27" s="66"/>
      <c r="D27" s="66"/>
    </row>
    <row r="28" spans="2:7" ht="15.75" x14ac:dyDescent="0.25">
      <c r="B28" s="40">
        <v>1</v>
      </c>
      <c r="C28" s="10" t="s">
        <v>5</v>
      </c>
      <c r="D28" s="11">
        <v>13</v>
      </c>
    </row>
    <row r="29" spans="2:7" ht="31.5" x14ac:dyDescent="0.25">
      <c r="B29" s="41">
        <v>2</v>
      </c>
      <c r="C29" s="12" t="s">
        <v>32</v>
      </c>
      <c r="D29" s="11">
        <v>768</v>
      </c>
    </row>
    <row r="30" spans="2:7" ht="15.75" x14ac:dyDescent="0.25">
      <c r="B30" s="40">
        <v>3</v>
      </c>
      <c r="C30" s="13" t="s">
        <v>6</v>
      </c>
      <c r="D30" s="14">
        <v>3</v>
      </c>
    </row>
    <row r="31" spans="2:7" ht="15.75" x14ac:dyDescent="0.25">
      <c r="B31" s="40">
        <v>4</v>
      </c>
      <c r="C31" s="10" t="s">
        <v>7</v>
      </c>
      <c r="D31" s="14">
        <v>22</v>
      </c>
    </row>
    <row r="32" spans="2:7" ht="15.75" x14ac:dyDescent="0.25">
      <c r="B32" s="68" t="s">
        <v>24</v>
      </c>
      <c r="C32" s="69"/>
      <c r="D32" s="41">
        <f>SUM(D28:D31)</f>
        <v>806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4" spans="2:7" ht="15.75" x14ac:dyDescent="0.25">
      <c r="B44" s="20" t="s">
        <v>27</v>
      </c>
      <c r="C44" s="15"/>
      <c r="D44" s="16"/>
    </row>
    <row r="45" spans="2:7" ht="15.75" x14ac:dyDescent="0.25">
      <c r="B45" s="67" t="s">
        <v>20</v>
      </c>
      <c r="C45" s="67"/>
      <c r="D45" s="67"/>
    </row>
    <row r="46" spans="2:7" ht="15.75" x14ac:dyDescent="0.25">
      <c r="B46" s="40">
        <v>1</v>
      </c>
      <c r="C46" s="10" t="s">
        <v>10</v>
      </c>
      <c r="D46" s="11">
        <v>11</v>
      </c>
    </row>
    <row r="47" spans="2:7" ht="15.75" x14ac:dyDescent="0.25">
      <c r="B47" s="40">
        <v>2</v>
      </c>
      <c r="C47" s="10" t="s">
        <v>11</v>
      </c>
      <c r="D47" s="11">
        <v>787</v>
      </c>
    </row>
    <row r="48" spans="2:7" ht="15.75" x14ac:dyDescent="0.25">
      <c r="B48" s="40">
        <v>3</v>
      </c>
      <c r="C48" s="10" t="s">
        <v>34</v>
      </c>
      <c r="D48" s="11">
        <v>0</v>
      </c>
    </row>
    <row r="49" spans="2:7" ht="15.75" x14ac:dyDescent="0.25">
      <c r="B49" s="40">
        <v>4</v>
      </c>
      <c r="C49" s="10" t="s">
        <v>33</v>
      </c>
      <c r="D49" s="11">
        <v>122</v>
      </c>
    </row>
    <row r="50" spans="2:7" ht="15.75" x14ac:dyDescent="0.25">
      <c r="B50" s="40">
        <v>5</v>
      </c>
      <c r="C50" s="10" t="s">
        <v>12</v>
      </c>
      <c r="D50" s="11">
        <v>0</v>
      </c>
    </row>
    <row r="51" spans="2:7" ht="15.75" x14ac:dyDescent="0.25">
      <c r="B51" s="66" t="s">
        <v>24</v>
      </c>
      <c r="C51" s="66"/>
      <c r="D51" s="7">
        <f>SUM(D46:D50)</f>
        <v>920</v>
      </c>
    </row>
    <row r="55" spans="2:7" x14ac:dyDescent="0.25">
      <c r="G55" s="22" t="s">
        <v>44</v>
      </c>
    </row>
    <row r="63" spans="2:7" ht="15.75" x14ac:dyDescent="0.25">
      <c r="B63" s="20" t="s">
        <v>29</v>
      </c>
    </row>
    <row r="64" spans="2:7" ht="15.75" x14ac:dyDescent="0.25">
      <c r="B64" s="66" t="s">
        <v>13</v>
      </c>
      <c r="C64" s="66"/>
      <c r="D64" s="66"/>
    </row>
    <row r="65" spans="2:7" ht="15.75" x14ac:dyDescent="0.25">
      <c r="B65" s="17">
        <v>1</v>
      </c>
      <c r="C65" s="18" t="s">
        <v>14</v>
      </c>
      <c r="D65" s="19">
        <v>499</v>
      </c>
    </row>
    <row r="66" spans="2:7" ht="31.5" x14ac:dyDescent="0.25">
      <c r="B66" s="17">
        <v>2</v>
      </c>
      <c r="C66" s="18" t="s">
        <v>15</v>
      </c>
      <c r="D66" s="19">
        <v>2</v>
      </c>
      <c r="G66" s="21" t="s">
        <v>30</v>
      </c>
    </row>
    <row r="67" spans="2:7" ht="31.5" x14ac:dyDescent="0.25">
      <c r="B67" s="17">
        <v>3</v>
      </c>
      <c r="C67" s="18" t="s">
        <v>16</v>
      </c>
      <c r="D67" s="19">
        <v>0</v>
      </c>
    </row>
    <row r="68" spans="2:7" ht="31.5" x14ac:dyDescent="0.25">
      <c r="B68" s="17">
        <v>4</v>
      </c>
      <c r="C68" s="18" t="s">
        <v>17</v>
      </c>
      <c r="D68" s="19">
        <v>305</v>
      </c>
    </row>
    <row r="69" spans="2:7" ht="31.5" x14ac:dyDescent="0.25">
      <c r="B69" s="17">
        <v>5</v>
      </c>
      <c r="C69" s="18" t="s">
        <v>18</v>
      </c>
      <c r="D69" s="19">
        <v>0</v>
      </c>
    </row>
    <row r="70" spans="2:7" ht="31.5" x14ac:dyDescent="0.25">
      <c r="B70" s="17">
        <v>6</v>
      </c>
      <c r="C70" s="18" t="s">
        <v>19</v>
      </c>
      <c r="D70" s="19">
        <v>0</v>
      </c>
      <c r="G70" s="22" t="s">
        <v>23</v>
      </c>
    </row>
    <row r="71" spans="2:7" ht="15.75" x14ac:dyDescent="0.25">
      <c r="B71" s="64" t="s">
        <v>24</v>
      </c>
      <c r="C71" s="65"/>
      <c r="D71" s="40">
        <f>SUM(D65:D70)</f>
        <v>806</v>
      </c>
    </row>
    <row r="74" spans="2:7" x14ac:dyDescent="0.25">
      <c r="G74" s="22" t="s">
        <v>44</v>
      </c>
    </row>
  </sheetData>
  <mergeCells count="17">
    <mergeCell ref="B71:C71"/>
    <mergeCell ref="B64:D64"/>
    <mergeCell ref="B7:D7"/>
    <mergeCell ref="B16:C16"/>
    <mergeCell ref="B27:D27"/>
    <mergeCell ref="B32:C32"/>
    <mergeCell ref="B51:C51"/>
    <mergeCell ref="B45:D45"/>
    <mergeCell ref="B1:N1"/>
    <mergeCell ref="B2:N2"/>
    <mergeCell ref="B4:N4"/>
    <mergeCell ref="B23:C23"/>
    <mergeCell ref="B22:C22"/>
    <mergeCell ref="B19:C19"/>
    <mergeCell ref="B18:C18"/>
    <mergeCell ref="B20:C20"/>
    <mergeCell ref="B21:C21"/>
  </mergeCells>
  <pageMargins left="0.7" right="0.7" top="0.75" bottom="0.75" header="0.3" footer="0.3"/>
  <pageSetup orientation="portrait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>
      <selection activeCell="D66" sqref="D66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54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53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43"/>
      <c r="C5" s="43"/>
      <c r="D5" s="43"/>
      <c r="E5" s="43"/>
      <c r="F5" s="43"/>
      <c r="G5" s="21" t="s">
        <v>22</v>
      </c>
      <c r="H5" s="43"/>
      <c r="I5" s="43"/>
      <c r="J5" s="43"/>
      <c r="K5" s="43"/>
      <c r="L5" s="43"/>
      <c r="M5" s="43"/>
      <c r="N5" s="43"/>
    </row>
    <row r="6" spans="1:16" ht="23.25" x14ac:dyDescent="0.35">
      <c r="B6" s="20" t="s">
        <v>21</v>
      </c>
      <c r="E6" s="43"/>
      <c r="F6" s="43"/>
      <c r="G6" s="43"/>
      <c r="H6" s="43"/>
      <c r="I6" s="43"/>
      <c r="J6" s="43"/>
      <c r="K6" s="43"/>
      <c r="L6" s="43"/>
      <c r="M6" s="43"/>
      <c r="N6" s="43"/>
    </row>
    <row r="7" spans="1:16" ht="23.25" x14ac:dyDescent="0.35">
      <c r="B7" s="67" t="s">
        <v>8</v>
      </c>
      <c r="C7" s="67"/>
      <c r="D7" s="67"/>
      <c r="E7" s="43"/>
      <c r="F7" s="43"/>
      <c r="G7" s="43"/>
      <c r="H7" s="43"/>
      <c r="I7" s="43"/>
      <c r="J7" s="43"/>
      <c r="K7" s="43"/>
      <c r="L7" s="43"/>
      <c r="M7" s="43"/>
      <c r="N7" s="43"/>
    </row>
    <row r="8" spans="1:16" ht="23.25" x14ac:dyDescent="0.35">
      <c r="B8" s="45">
        <v>1</v>
      </c>
      <c r="C8" s="4" t="s">
        <v>1</v>
      </c>
      <c r="D8" s="19">
        <v>420</v>
      </c>
      <c r="E8" s="43"/>
      <c r="F8" s="43"/>
      <c r="G8" s="43"/>
      <c r="H8" s="43"/>
      <c r="I8" s="43"/>
      <c r="J8" s="43"/>
      <c r="K8" s="43"/>
      <c r="L8" s="43"/>
      <c r="M8" s="43"/>
      <c r="N8" s="43"/>
    </row>
    <row r="9" spans="1:16" ht="15.75" x14ac:dyDescent="0.25">
      <c r="B9" s="45">
        <v>2</v>
      </c>
      <c r="C9" s="5" t="s">
        <v>31</v>
      </c>
      <c r="D9" s="19">
        <v>441</v>
      </c>
    </row>
    <row r="10" spans="1:16" ht="15.75" x14ac:dyDescent="0.25">
      <c r="B10" s="45">
        <v>3</v>
      </c>
      <c r="C10" s="5" t="s">
        <v>2</v>
      </c>
      <c r="D10" s="19">
        <v>89</v>
      </c>
    </row>
    <row r="11" spans="1:16" ht="31.5" x14ac:dyDescent="0.25">
      <c r="B11" s="45">
        <v>4</v>
      </c>
      <c r="C11" s="4" t="s">
        <v>3</v>
      </c>
      <c r="D11" s="19">
        <v>21</v>
      </c>
    </row>
    <row r="12" spans="1:16" ht="15.75" x14ac:dyDescent="0.25">
      <c r="B12" s="45">
        <v>5</v>
      </c>
      <c r="C12" s="4" t="s">
        <v>4</v>
      </c>
      <c r="D12" s="19">
        <v>91</v>
      </c>
    </row>
    <row r="13" spans="1:16" ht="15.75" x14ac:dyDescent="0.25">
      <c r="B13" s="45">
        <v>6</v>
      </c>
      <c r="C13" s="4" t="s">
        <v>38</v>
      </c>
      <c r="D13" s="6">
        <v>0</v>
      </c>
    </row>
    <row r="14" spans="1:16" ht="15.75" x14ac:dyDescent="0.25">
      <c r="B14" s="45">
        <v>7</v>
      </c>
      <c r="C14" s="4" t="s">
        <v>39</v>
      </c>
      <c r="D14" s="19">
        <v>2</v>
      </c>
    </row>
    <row r="15" spans="1:16" ht="15.75" x14ac:dyDescent="0.25">
      <c r="B15" s="45">
        <v>8</v>
      </c>
      <c r="C15" s="4" t="s">
        <v>40</v>
      </c>
      <c r="D15" s="19">
        <v>6</v>
      </c>
    </row>
    <row r="16" spans="1:16" ht="15.75" x14ac:dyDescent="0.25">
      <c r="B16" s="66" t="s">
        <v>24</v>
      </c>
      <c r="C16" s="66"/>
      <c r="D16" s="27">
        <f>SUM(D8:D15)</f>
        <v>1070</v>
      </c>
    </row>
    <row r="17" spans="2:7" x14ac:dyDescent="0.25">
      <c r="G17" s="22" t="s">
        <v>44</v>
      </c>
    </row>
    <row r="18" spans="2:7" ht="15.75" x14ac:dyDescent="0.25">
      <c r="B18" s="74" t="s">
        <v>35</v>
      </c>
      <c r="C18" s="75"/>
      <c r="D18" s="23">
        <v>1070</v>
      </c>
    </row>
    <row r="19" spans="2:7" ht="15.75" x14ac:dyDescent="0.25">
      <c r="B19" s="74" t="s">
        <v>36</v>
      </c>
      <c r="C19" s="75"/>
      <c r="D19" s="23">
        <v>21</v>
      </c>
    </row>
    <row r="20" spans="2:7" ht="15.75" x14ac:dyDescent="0.25">
      <c r="B20" s="74" t="s">
        <v>41</v>
      </c>
      <c r="C20" s="75"/>
      <c r="D20" s="23">
        <v>91</v>
      </c>
    </row>
    <row r="21" spans="2:7" ht="15.75" x14ac:dyDescent="0.25">
      <c r="B21" s="74" t="s">
        <v>38</v>
      </c>
      <c r="C21" s="75"/>
      <c r="D21" s="23">
        <v>0</v>
      </c>
      <c r="G21" s="21" t="s">
        <v>26</v>
      </c>
    </row>
    <row r="22" spans="2:7" ht="15.75" x14ac:dyDescent="0.25">
      <c r="B22" s="74" t="s">
        <v>39</v>
      </c>
      <c r="C22" s="75"/>
      <c r="D22" s="23">
        <v>2</v>
      </c>
    </row>
    <row r="23" spans="2:7" ht="15.75" x14ac:dyDescent="0.25">
      <c r="B23" s="74" t="s">
        <v>37</v>
      </c>
      <c r="C23" s="75"/>
      <c r="D23" s="28">
        <f>(D18)-D19-D21-D20-D22</f>
        <v>956</v>
      </c>
    </row>
    <row r="26" spans="2:7" ht="15.75" x14ac:dyDescent="0.25">
      <c r="B26" s="20" t="s">
        <v>25</v>
      </c>
    </row>
    <row r="27" spans="2:7" ht="15.75" x14ac:dyDescent="0.25">
      <c r="B27" s="66" t="s">
        <v>9</v>
      </c>
      <c r="C27" s="66"/>
      <c r="D27" s="66"/>
    </row>
    <row r="28" spans="2:7" ht="15.75" x14ac:dyDescent="0.25">
      <c r="B28" s="44">
        <v>1</v>
      </c>
      <c r="C28" s="10" t="s">
        <v>5</v>
      </c>
      <c r="D28" s="11">
        <v>47</v>
      </c>
    </row>
    <row r="29" spans="2:7" ht="31.5" x14ac:dyDescent="0.25">
      <c r="B29" s="45">
        <v>2</v>
      </c>
      <c r="C29" s="12" t="s">
        <v>32</v>
      </c>
      <c r="D29" s="11">
        <v>849</v>
      </c>
    </row>
    <row r="30" spans="2:7" ht="15.75" x14ac:dyDescent="0.25">
      <c r="B30" s="44">
        <v>3</v>
      </c>
      <c r="C30" s="13" t="s">
        <v>6</v>
      </c>
      <c r="D30" s="14">
        <v>2</v>
      </c>
    </row>
    <row r="31" spans="2:7" ht="15.75" x14ac:dyDescent="0.25">
      <c r="B31" s="44">
        <v>4</v>
      </c>
      <c r="C31" s="10" t="s">
        <v>7</v>
      </c>
      <c r="D31" s="14">
        <v>58</v>
      </c>
    </row>
    <row r="32" spans="2:7" ht="15.75" x14ac:dyDescent="0.25">
      <c r="B32" s="68" t="s">
        <v>24</v>
      </c>
      <c r="C32" s="69"/>
      <c r="D32" s="45">
        <f>SUM(D28:D31)</f>
        <v>956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4" spans="2:7" ht="15.75" x14ac:dyDescent="0.25">
      <c r="B44" s="20" t="s">
        <v>27</v>
      </c>
      <c r="C44" s="15"/>
      <c r="D44" s="16"/>
    </row>
    <row r="45" spans="2:7" ht="15.75" x14ac:dyDescent="0.25">
      <c r="B45" s="67" t="s">
        <v>20</v>
      </c>
      <c r="C45" s="67"/>
      <c r="D45" s="67"/>
    </row>
    <row r="46" spans="2:7" ht="15.75" x14ac:dyDescent="0.25">
      <c r="B46" s="44">
        <v>1</v>
      </c>
      <c r="C46" s="10" t="s">
        <v>10</v>
      </c>
      <c r="D46" s="11">
        <v>8</v>
      </c>
    </row>
    <row r="47" spans="2:7" ht="15.75" x14ac:dyDescent="0.25">
      <c r="B47" s="44">
        <v>2</v>
      </c>
      <c r="C47" s="10" t="s">
        <v>11</v>
      </c>
      <c r="D47" s="11">
        <v>916</v>
      </c>
    </row>
    <row r="48" spans="2:7" ht="15.75" x14ac:dyDescent="0.25">
      <c r="B48" s="44">
        <v>3</v>
      </c>
      <c r="C48" s="10" t="s">
        <v>34</v>
      </c>
      <c r="D48" s="11">
        <v>0</v>
      </c>
    </row>
    <row r="49" spans="2:7" ht="15.75" x14ac:dyDescent="0.25">
      <c r="B49" s="44">
        <v>4</v>
      </c>
      <c r="C49" s="10" t="s">
        <v>33</v>
      </c>
      <c r="D49" s="11">
        <v>146</v>
      </c>
    </row>
    <row r="50" spans="2:7" ht="15.75" x14ac:dyDescent="0.25">
      <c r="B50" s="44">
        <v>5</v>
      </c>
      <c r="C50" s="10" t="s">
        <v>12</v>
      </c>
      <c r="D50" s="11">
        <v>0</v>
      </c>
    </row>
    <row r="51" spans="2:7" ht="15.75" x14ac:dyDescent="0.25">
      <c r="B51" s="66" t="s">
        <v>24</v>
      </c>
      <c r="C51" s="66"/>
      <c r="D51" s="7">
        <f>SUM(D46:D50)</f>
        <v>1070</v>
      </c>
    </row>
    <row r="55" spans="2:7" x14ac:dyDescent="0.25">
      <c r="G55" s="22" t="s">
        <v>44</v>
      </c>
    </row>
    <row r="63" spans="2:7" ht="15.75" x14ac:dyDescent="0.25">
      <c r="B63" s="20" t="s">
        <v>29</v>
      </c>
    </row>
    <row r="64" spans="2:7" ht="15.75" x14ac:dyDescent="0.25">
      <c r="B64" s="66" t="s">
        <v>13</v>
      </c>
      <c r="C64" s="66"/>
      <c r="D64" s="66"/>
    </row>
    <row r="65" spans="2:7" ht="15.75" x14ac:dyDescent="0.25">
      <c r="B65" s="17">
        <v>1</v>
      </c>
      <c r="C65" s="18" t="s">
        <v>14</v>
      </c>
      <c r="D65" s="19">
        <v>502</v>
      </c>
    </row>
    <row r="66" spans="2:7" ht="31.5" x14ac:dyDescent="0.25">
      <c r="B66" s="17">
        <v>2</v>
      </c>
      <c r="C66" s="18" t="s">
        <v>15</v>
      </c>
      <c r="D66" s="19">
        <v>2</v>
      </c>
      <c r="G66" s="21" t="s">
        <v>30</v>
      </c>
    </row>
    <row r="67" spans="2:7" ht="31.5" x14ac:dyDescent="0.25">
      <c r="B67" s="17">
        <v>3</v>
      </c>
      <c r="C67" s="18" t="s">
        <v>16</v>
      </c>
      <c r="D67" s="19">
        <v>0</v>
      </c>
    </row>
    <row r="68" spans="2:7" ht="31.5" x14ac:dyDescent="0.25">
      <c r="B68" s="17">
        <v>4</v>
      </c>
      <c r="C68" s="18" t="s">
        <v>17</v>
      </c>
      <c r="D68" s="19">
        <v>452</v>
      </c>
    </row>
    <row r="69" spans="2:7" ht="31.5" x14ac:dyDescent="0.25">
      <c r="B69" s="17">
        <v>5</v>
      </c>
      <c r="C69" s="18" t="s">
        <v>18</v>
      </c>
      <c r="D69" s="19">
        <v>0</v>
      </c>
    </row>
    <row r="70" spans="2:7" ht="31.5" x14ac:dyDescent="0.25">
      <c r="B70" s="17">
        <v>6</v>
      </c>
      <c r="C70" s="18" t="s">
        <v>19</v>
      </c>
      <c r="D70" s="19">
        <v>0</v>
      </c>
      <c r="G70" s="22" t="s">
        <v>23</v>
      </c>
    </row>
    <row r="71" spans="2:7" ht="15.75" x14ac:dyDescent="0.25">
      <c r="B71" s="64" t="s">
        <v>24</v>
      </c>
      <c r="C71" s="65"/>
      <c r="D71" s="44">
        <f>SUM(D65:D70)</f>
        <v>956</v>
      </c>
    </row>
    <row r="74" spans="2:7" x14ac:dyDescent="0.25">
      <c r="G74" s="22" t="s">
        <v>44</v>
      </c>
    </row>
  </sheetData>
  <mergeCells count="17">
    <mergeCell ref="B1:N1"/>
    <mergeCell ref="B2:N2"/>
    <mergeCell ref="B4:N4"/>
    <mergeCell ref="B23:C23"/>
    <mergeCell ref="B22:C22"/>
    <mergeCell ref="B19:C19"/>
    <mergeCell ref="B18:C18"/>
    <mergeCell ref="B20:C20"/>
    <mergeCell ref="B21:C21"/>
    <mergeCell ref="B71:C71"/>
    <mergeCell ref="B64:D64"/>
    <mergeCell ref="B7:D7"/>
    <mergeCell ref="B16:C16"/>
    <mergeCell ref="B27:D27"/>
    <mergeCell ref="B32:C32"/>
    <mergeCell ref="B51:C51"/>
    <mergeCell ref="B45:D45"/>
  </mergeCells>
  <pageMargins left="0.7" right="0.7" top="0.75" bottom="0.75" header="0.3" footer="0.3"/>
  <pageSetup orientation="portrait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>
      <selection activeCell="E11" sqref="E11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56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55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48"/>
      <c r="C5" s="48"/>
      <c r="D5" s="48"/>
      <c r="E5" s="48"/>
      <c r="F5" s="48"/>
      <c r="G5" s="21" t="s">
        <v>22</v>
      </c>
      <c r="H5" s="48"/>
      <c r="I5" s="48"/>
      <c r="J5" s="48"/>
      <c r="K5" s="48"/>
      <c r="L5" s="48"/>
      <c r="M5" s="48"/>
      <c r="N5" s="48"/>
    </row>
    <row r="6" spans="1:16" ht="23.25" x14ac:dyDescent="0.35">
      <c r="B6" s="20" t="s">
        <v>21</v>
      </c>
      <c r="E6" s="48"/>
      <c r="F6" s="48"/>
      <c r="G6" s="48"/>
      <c r="H6" s="48"/>
      <c r="I6" s="48"/>
      <c r="J6" s="48"/>
      <c r="K6" s="48"/>
      <c r="L6" s="48"/>
      <c r="M6" s="48"/>
      <c r="N6" s="48"/>
    </row>
    <row r="7" spans="1:16" ht="23.25" x14ac:dyDescent="0.35">
      <c r="B7" s="67" t="s">
        <v>8</v>
      </c>
      <c r="C7" s="67"/>
      <c r="D7" s="67"/>
      <c r="E7" s="48"/>
      <c r="F7" s="48"/>
      <c r="G7" s="48"/>
      <c r="H7" s="48"/>
      <c r="I7" s="48"/>
      <c r="J7" s="48"/>
      <c r="K7" s="48"/>
      <c r="L7" s="48"/>
      <c r="M7" s="48"/>
      <c r="N7" s="48"/>
    </row>
    <row r="8" spans="1:16" ht="23.25" x14ac:dyDescent="0.35">
      <c r="B8" s="47">
        <v>1</v>
      </c>
      <c r="C8" s="4" t="s">
        <v>1</v>
      </c>
      <c r="D8" s="19">
        <v>416</v>
      </c>
      <c r="E8" s="48"/>
      <c r="F8" s="48"/>
      <c r="G8" s="48"/>
      <c r="H8" s="48"/>
      <c r="I8" s="48"/>
      <c r="J8" s="48"/>
      <c r="K8" s="48"/>
      <c r="L8" s="48"/>
      <c r="M8" s="48"/>
      <c r="N8" s="48"/>
    </row>
    <row r="9" spans="1:16" ht="15.75" x14ac:dyDescent="0.25">
      <c r="B9" s="47">
        <v>2</v>
      </c>
      <c r="C9" s="5" t="s">
        <v>31</v>
      </c>
      <c r="D9" s="19">
        <v>384</v>
      </c>
    </row>
    <row r="10" spans="1:16" ht="15.75" x14ac:dyDescent="0.25">
      <c r="B10" s="47">
        <v>3</v>
      </c>
      <c r="C10" s="5" t="s">
        <v>2</v>
      </c>
      <c r="D10" s="19">
        <v>74</v>
      </c>
    </row>
    <row r="11" spans="1:16" ht="31.5" x14ac:dyDescent="0.25">
      <c r="B11" s="47">
        <v>4</v>
      </c>
      <c r="C11" s="4" t="s">
        <v>3</v>
      </c>
      <c r="D11" s="19">
        <v>28</v>
      </c>
    </row>
    <row r="12" spans="1:16" ht="15.75" x14ac:dyDescent="0.25">
      <c r="B12" s="47">
        <v>5</v>
      </c>
      <c r="C12" s="4" t="s">
        <v>4</v>
      </c>
      <c r="D12" s="19">
        <v>89</v>
      </c>
    </row>
    <row r="13" spans="1:16" ht="15.75" x14ac:dyDescent="0.25">
      <c r="B13" s="47">
        <v>6</v>
      </c>
      <c r="C13" s="4" t="s">
        <v>38</v>
      </c>
      <c r="D13" s="6">
        <v>0</v>
      </c>
    </row>
    <row r="14" spans="1:16" ht="15.75" x14ac:dyDescent="0.25">
      <c r="B14" s="47">
        <v>7</v>
      </c>
      <c r="C14" s="4" t="s">
        <v>39</v>
      </c>
      <c r="D14" s="19">
        <v>6</v>
      </c>
    </row>
    <row r="15" spans="1:16" ht="15.75" x14ac:dyDescent="0.25">
      <c r="B15" s="47">
        <v>8</v>
      </c>
      <c r="C15" s="4" t="s">
        <v>40</v>
      </c>
      <c r="D15" s="19">
        <v>0</v>
      </c>
    </row>
    <row r="16" spans="1:16" ht="15.75" x14ac:dyDescent="0.25">
      <c r="B16" s="66" t="s">
        <v>24</v>
      </c>
      <c r="C16" s="66"/>
      <c r="D16" s="27">
        <f>SUM(D8:D15)</f>
        <v>997</v>
      </c>
    </row>
    <row r="17" spans="2:7" x14ac:dyDescent="0.25">
      <c r="G17" s="22" t="s">
        <v>44</v>
      </c>
    </row>
    <row r="18" spans="2:7" ht="15.75" x14ac:dyDescent="0.25">
      <c r="B18" s="74" t="s">
        <v>35</v>
      </c>
      <c r="C18" s="75"/>
      <c r="D18" s="23">
        <v>997</v>
      </c>
    </row>
    <row r="19" spans="2:7" ht="15.75" x14ac:dyDescent="0.25">
      <c r="B19" s="74" t="s">
        <v>36</v>
      </c>
      <c r="C19" s="75"/>
      <c r="D19" s="23">
        <v>28</v>
      </c>
    </row>
    <row r="20" spans="2:7" ht="15.75" x14ac:dyDescent="0.25">
      <c r="B20" s="74" t="s">
        <v>41</v>
      </c>
      <c r="C20" s="75"/>
      <c r="D20" s="23">
        <v>89</v>
      </c>
    </row>
    <row r="21" spans="2:7" ht="15.75" x14ac:dyDescent="0.25">
      <c r="B21" s="74" t="s">
        <v>38</v>
      </c>
      <c r="C21" s="75"/>
      <c r="D21" s="23">
        <v>0</v>
      </c>
      <c r="G21" s="21" t="s">
        <v>26</v>
      </c>
    </row>
    <row r="22" spans="2:7" ht="15.75" x14ac:dyDescent="0.25">
      <c r="B22" s="74" t="s">
        <v>39</v>
      </c>
      <c r="C22" s="75"/>
      <c r="D22" s="23">
        <v>6</v>
      </c>
    </row>
    <row r="23" spans="2:7" ht="15.75" x14ac:dyDescent="0.25">
      <c r="B23" s="74" t="s">
        <v>37</v>
      </c>
      <c r="C23" s="75"/>
      <c r="D23" s="28">
        <f>(D18)-D19-D21-D20-D22</f>
        <v>874</v>
      </c>
    </row>
    <row r="26" spans="2:7" ht="15.75" x14ac:dyDescent="0.25">
      <c r="B26" s="20" t="s">
        <v>25</v>
      </c>
    </row>
    <row r="27" spans="2:7" ht="15.75" x14ac:dyDescent="0.25">
      <c r="B27" s="66" t="s">
        <v>9</v>
      </c>
      <c r="C27" s="66"/>
      <c r="D27" s="66"/>
    </row>
    <row r="28" spans="2:7" ht="15.75" x14ac:dyDescent="0.25">
      <c r="B28" s="46">
        <v>1</v>
      </c>
      <c r="C28" s="10" t="s">
        <v>5</v>
      </c>
      <c r="D28" s="11">
        <v>15</v>
      </c>
    </row>
    <row r="29" spans="2:7" ht="31.5" x14ac:dyDescent="0.25">
      <c r="B29" s="47">
        <v>2</v>
      </c>
      <c r="C29" s="12" t="s">
        <v>32</v>
      </c>
      <c r="D29" s="11">
        <v>839</v>
      </c>
    </row>
    <row r="30" spans="2:7" ht="15.75" x14ac:dyDescent="0.25">
      <c r="B30" s="46">
        <v>3</v>
      </c>
      <c r="C30" s="13" t="s">
        <v>6</v>
      </c>
      <c r="D30" s="14">
        <v>1</v>
      </c>
    </row>
    <row r="31" spans="2:7" ht="15.75" x14ac:dyDescent="0.25">
      <c r="B31" s="46">
        <v>4</v>
      </c>
      <c r="C31" s="10" t="s">
        <v>7</v>
      </c>
      <c r="D31" s="14">
        <v>19</v>
      </c>
    </row>
    <row r="32" spans="2:7" ht="15.75" x14ac:dyDescent="0.25">
      <c r="B32" s="68" t="s">
        <v>24</v>
      </c>
      <c r="C32" s="69"/>
      <c r="D32" s="47">
        <f>SUM(D28:D31)</f>
        <v>874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4" spans="2:7" ht="15.75" x14ac:dyDescent="0.25">
      <c r="B44" s="20" t="s">
        <v>27</v>
      </c>
      <c r="C44" s="15"/>
      <c r="D44" s="16"/>
    </row>
    <row r="45" spans="2:7" ht="15.75" x14ac:dyDescent="0.25">
      <c r="B45" s="67" t="s">
        <v>20</v>
      </c>
      <c r="C45" s="67"/>
      <c r="D45" s="67"/>
    </row>
    <row r="46" spans="2:7" ht="15.75" x14ac:dyDescent="0.25">
      <c r="B46" s="46">
        <v>1</v>
      </c>
      <c r="C46" s="10" t="s">
        <v>10</v>
      </c>
      <c r="D46" s="11">
        <v>4</v>
      </c>
    </row>
    <row r="47" spans="2:7" ht="15.75" x14ac:dyDescent="0.25">
      <c r="B47" s="46">
        <v>2</v>
      </c>
      <c r="C47" s="10" t="s">
        <v>11</v>
      </c>
      <c r="D47" s="11">
        <v>761</v>
      </c>
    </row>
    <row r="48" spans="2:7" ht="15.75" x14ac:dyDescent="0.25">
      <c r="B48" s="46">
        <v>3</v>
      </c>
      <c r="C48" s="10" t="s">
        <v>34</v>
      </c>
      <c r="D48" s="11">
        <v>0</v>
      </c>
    </row>
    <row r="49" spans="2:7" ht="15.75" x14ac:dyDescent="0.25">
      <c r="B49" s="46">
        <v>4</v>
      </c>
      <c r="C49" s="10" t="s">
        <v>33</v>
      </c>
      <c r="D49" s="11">
        <v>109</v>
      </c>
    </row>
    <row r="50" spans="2:7" ht="15.75" x14ac:dyDescent="0.25">
      <c r="B50" s="46">
        <v>5</v>
      </c>
      <c r="C50" s="10" t="s">
        <v>12</v>
      </c>
      <c r="D50" s="11">
        <v>0</v>
      </c>
    </row>
    <row r="51" spans="2:7" ht="15.75" x14ac:dyDescent="0.25">
      <c r="B51" s="66" t="s">
        <v>24</v>
      </c>
      <c r="C51" s="66"/>
      <c r="D51" s="7">
        <f>SUM(D46:D50)</f>
        <v>874</v>
      </c>
    </row>
    <row r="55" spans="2:7" x14ac:dyDescent="0.25">
      <c r="G55" s="22" t="s">
        <v>44</v>
      </c>
    </row>
    <row r="63" spans="2:7" ht="15.75" x14ac:dyDescent="0.25">
      <c r="B63" s="20" t="s">
        <v>29</v>
      </c>
    </row>
    <row r="64" spans="2:7" ht="15.75" x14ac:dyDescent="0.25">
      <c r="B64" s="66" t="s">
        <v>13</v>
      </c>
      <c r="C64" s="66"/>
      <c r="D64" s="66"/>
    </row>
    <row r="65" spans="2:7" ht="15.75" x14ac:dyDescent="0.25">
      <c r="B65" s="17">
        <v>1</v>
      </c>
      <c r="C65" s="18" t="s">
        <v>14</v>
      </c>
      <c r="D65" s="19">
        <v>522</v>
      </c>
    </row>
    <row r="66" spans="2:7" ht="31.5" x14ac:dyDescent="0.25">
      <c r="B66" s="17">
        <v>2</v>
      </c>
      <c r="C66" s="18" t="s">
        <v>15</v>
      </c>
      <c r="D66" s="19">
        <v>0</v>
      </c>
      <c r="G66" s="21" t="s">
        <v>30</v>
      </c>
    </row>
    <row r="67" spans="2:7" ht="31.5" x14ac:dyDescent="0.25">
      <c r="B67" s="17">
        <v>3</v>
      </c>
      <c r="C67" s="18" t="s">
        <v>16</v>
      </c>
      <c r="D67" s="19">
        <v>0</v>
      </c>
    </row>
    <row r="68" spans="2:7" ht="31.5" x14ac:dyDescent="0.25">
      <c r="B68" s="17">
        <v>4</v>
      </c>
      <c r="C68" s="18" t="s">
        <v>17</v>
      </c>
      <c r="D68" s="19">
        <v>352</v>
      </c>
    </row>
    <row r="69" spans="2:7" ht="31.5" x14ac:dyDescent="0.25">
      <c r="B69" s="17">
        <v>5</v>
      </c>
      <c r="C69" s="18" t="s">
        <v>18</v>
      </c>
      <c r="D69" s="19">
        <v>0</v>
      </c>
    </row>
    <row r="70" spans="2:7" ht="31.5" x14ac:dyDescent="0.25">
      <c r="B70" s="17">
        <v>6</v>
      </c>
      <c r="C70" s="18" t="s">
        <v>19</v>
      </c>
      <c r="D70" s="19">
        <v>0</v>
      </c>
      <c r="G70" s="22" t="s">
        <v>23</v>
      </c>
    </row>
    <row r="71" spans="2:7" ht="15.75" x14ac:dyDescent="0.25">
      <c r="B71" s="64" t="s">
        <v>24</v>
      </c>
      <c r="C71" s="65"/>
      <c r="D71" s="46">
        <f>SUM(D65:D70)</f>
        <v>874</v>
      </c>
    </row>
    <row r="74" spans="2:7" x14ac:dyDescent="0.25">
      <c r="G74" s="22" t="s">
        <v>44</v>
      </c>
    </row>
  </sheetData>
  <mergeCells count="17">
    <mergeCell ref="B1:N1"/>
    <mergeCell ref="B2:N2"/>
    <mergeCell ref="B4:N4"/>
    <mergeCell ref="B23:C23"/>
    <mergeCell ref="B22:C22"/>
    <mergeCell ref="B19:C19"/>
    <mergeCell ref="B18:C18"/>
    <mergeCell ref="B20:C20"/>
    <mergeCell ref="B21:C21"/>
    <mergeCell ref="B71:C71"/>
    <mergeCell ref="B64:D64"/>
    <mergeCell ref="B7:D7"/>
    <mergeCell ref="B16:C16"/>
    <mergeCell ref="B27:D27"/>
    <mergeCell ref="B32:C32"/>
    <mergeCell ref="B51:C51"/>
    <mergeCell ref="B45:D45"/>
  </mergeCells>
  <pageMargins left="0.7" right="0.7" top="0.75" bottom="0.75" header="0.3" footer="0.3"/>
  <pageSetup orientation="portrait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4"/>
  <sheetViews>
    <sheetView workbookViewId="0">
      <selection activeCell="E10" sqref="E10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58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57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49"/>
      <c r="C5" s="49"/>
      <c r="D5" s="49"/>
      <c r="E5" s="49"/>
      <c r="F5" s="49"/>
      <c r="G5" s="21" t="s">
        <v>22</v>
      </c>
      <c r="H5" s="49"/>
      <c r="I5" s="49"/>
      <c r="J5" s="49"/>
      <c r="K5" s="49"/>
      <c r="L5" s="49"/>
      <c r="M5" s="49"/>
      <c r="N5" s="49"/>
    </row>
    <row r="6" spans="1:16" ht="23.25" x14ac:dyDescent="0.35">
      <c r="B6" s="20" t="s">
        <v>21</v>
      </c>
      <c r="E6" s="49"/>
      <c r="F6" s="49"/>
      <c r="G6" s="49"/>
      <c r="H6" s="49"/>
      <c r="I6" s="49"/>
      <c r="J6" s="49"/>
      <c r="K6" s="49"/>
      <c r="L6" s="49"/>
      <c r="M6" s="49"/>
      <c r="N6" s="49"/>
    </row>
    <row r="7" spans="1:16" ht="23.25" x14ac:dyDescent="0.35">
      <c r="B7" s="67" t="s">
        <v>8</v>
      </c>
      <c r="C7" s="67"/>
      <c r="D7" s="67"/>
      <c r="E7" s="49"/>
      <c r="F7" s="49"/>
      <c r="G7" s="49"/>
      <c r="H7" s="49"/>
      <c r="I7" s="49"/>
      <c r="J7" s="49"/>
      <c r="K7" s="49"/>
      <c r="L7" s="49"/>
      <c r="M7" s="49"/>
      <c r="N7" s="49"/>
    </row>
    <row r="8" spans="1:16" ht="23.25" x14ac:dyDescent="0.35">
      <c r="B8" s="51">
        <v>1</v>
      </c>
      <c r="C8" s="4" t="s">
        <v>1</v>
      </c>
      <c r="D8" s="19">
        <v>549</v>
      </c>
      <c r="E8" s="49"/>
      <c r="F8" s="49"/>
      <c r="G8" s="49"/>
      <c r="H8" s="49"/>
      <c r="I8" s="49"/>
      <c r="J8" s="49"/>
      <c r="K8" s="49"/>
      <c r="L8" s="49"/>
      <c r="M8" s="49"/>
      <c r="N8" s="49"/>
    </row>
    <row r="9" spans="1:16" ht="15.75" x14ac:dyDescent="0.25">
      <c r="B9" s="51">
        <v>2</v>
      </c>
      <c r="C9" s="5" t="s">
        <v>31</v>
      </c>
      <c r="D9" s="19">
        <v>493</v>
      </c>
    </row>
    <row r="10" spans="1:16" ht="15.75" x14ac:dyDescent="0.25">
      <c r="B10" s="51">
        <v>3</v>
      </c>
      <c r="C10" s="5" t="s">
        <v>2</v>
      </c>
      <c r="D10" s="19">
        <v>111</v>
      </c>
    </row>
    <row r="11" spans="1:16" ht="31.5" x14ac:dyDescent="0.25">
      <c r="B11" s="51">
        <v>4</v>
      </c>
      <c r="C11" s="4" t="s">
        <v>3</v>
      </c>
      <c r="D11" s="19">
        <v>24</v>
      </c>
    </row>
    <row r="12" spans="1:16" ht="15.75" x14ac:dyDescent="0.25">
      <c r="B12" s="51">
        <v>5</v>
      </c>
      <c r="C12" s="4" t="s">
        <v>4</v>
      </c>
      <c r="D12" s="19">
        <v>61</v>
      </c>
    </row>
    <row r="13" spans="1:16" ht="15.75" x14ac:dyDescent="0.25">
      <c r="B13" s="51">
        <v>6</v>
      </c>
      <c r="C13" s="4" t="s">
        <v>38</v>
      </c>
      <c r="D13" s="6">
        <v>0</v>
      </c>
    </row>
    <row r="14" spans="1:16" ht="15.75" x14ac:dyDescent="0.25">
      <c r="B14" s="51">
        <v>7</v>
      </c>
      <c r="C14" s="4" t="s">
        <v>39</v>
      </c>
      <c r="D14" s="19">
        <v>3</v>
      </c>
    </row>
    <row r="15" spans="1:16" ht="15.75" x14ac:dyDescent="0.25">
      <c r="B15" s="51">
        <v>8</v>
      </c>
      <c r="C15" s="4" t="s">
        <v>40</v>
      </c>
      <c r="D15" s="19">
        <v>18</v>
      </c>
    </row>
    <row r="16" spans="1:16" ht="15.75" x14ac:dyDescent="0.25">
      <c r="B16" s="66" t="s">
        <v>24</v>
      </c>
      <c r="C16" s="66"/>
      <c r="D16" s="27">
        <f>SUM(D8:D15)</f>
        <v>1259</v>
      </c>
    </row>
    <row r="17" spans="2:7" x14ac:dyDescent="0.25">
      <c r="G17" s="22" t="s">
        <v>44</v>
      </c>
    </row>
    <row r="18" spans="2:7" ht="15.75" x14ac:dyDescent="0.25">
      <c r="B18" s="74" t="s">
        <v>35</v>
      </c>
      <c r="C18" s="75"/>
      <c r="D18" s="23">
        <v>1259</v>
      </c>
    </row>
    <row r="19" spans="2:7" ht="15.75" x14ac:dyDescent="0.25">
      <c r="B19" s="74" t="s">
        <v>36</v>
      </c>
      <c r="C19" s="75"/>
      <c r="D19" s="23">
        <v>24</v>
      </c>
    </row>
    <row r="20" spans="2:7" ht="15.75" x14ac:dyDescent="0.25">
      <c r="B20" s="74" t="s">
        <v>41</v>
      </c>
      <c r="C20" s="75"/>
      <c r="D20" s="23">
        <v>61</v>
      </c>
    </row>
    <row r="21" spans="2:7" ht="15.75" x14ac:dyDescent="0.25">
      <c r="B21" s="74" t="s">
        <v>38</v>
      </c>
      <c r="C21" s="75"/>
      <c r="D21" s="23">
        <v>0</v>
      </c>
      <c r="G21" s="21" t="s">
        <v>26</v>
      </c>
    </row>
    <row r="22" spans="2:7" ht="15.75" x14ac:dyDescent="0.25">
      <c r="B22" s="74" t="s">
        <v>39</v>
      </c>
      <c r="C22" s="75"/>
      <c r="D22" s="23">
        <v>3</v>
      </c>
    </row>
    <row r="23" spans="2:7" ht="15.75" x14ac:dyDescent="0.25">
      <c r="B23" s="74" t="s">
        <v>37</v>
      </c>
      <c r="C23" s="75"/>
      <c r="D23" s="28">
        <f>(D18)-D19-D21-D20-D22</f>
        <v>1171</v>
      </c>
    </row>
    <row r="26" spans="2:7" ht="15.75" x14ac:dyDescent="0.25">
      <c r="B26" s="20" t="s">
        <v>25</v>
      </c>
    </row>
    <row r="27" spans="2:7" ht="15.75" x14ac:dyDescent="0.25">
      <c r="B27" s="66" t="s">
        <v>9</v>
      </c>
      <c r="C27" s="66"/>
      <c r="D27" s="66"/>
    </row>
    <row r="28" spans="2:7" ht="15.75" x14ac:dyDescent="0.25">
      <c r="B28" s="50">
        <v>1</v>
      </c>
      <c r="C28" s="10" t="s">
        <v>5</v>
      </c>
      <c r="D28" s="11">
        <v>16</v>
      </c>
    </row>
    <row r="29" spans="2:7" ht="31.5" x14ac:dyDescent="0.25">
      <c r="B29" s="51">
        <v>2</v>
      </c>
      <c r="C29" s="12" t="s">
        <v>32</v>
      </c>
      <c r="D29" s="11">
        <v>1113</v>
      </c>
    </row>
    <row r="30" spans="2:7" ht="15.75" x14ac:dyDescent="0.25">
      <c r="B30" s="50">
        <v>3</v>
      </c>
      <c r="C30" s="13" t="s">
        <v>6</v>
      </c>
      <c r="D30" s="14">
        <v>3</v>
      </c>
    </row>
    <row r="31" spans="2:7" ht="15.75" x14ac:dyDescent="0.25">
      <c r="B31" s="50">
        <v>4</v>
      </c>
      <c r="C31" s="10" t="s">
        <v>7</v>
      </c>
      <c r="D31" s="14">
        <v>39</v>
      </c>
    </row>
    <row r="32" spans="2:7" ht="15.75" x14ac:dyDescent="0.25">
      <c r="B32" s="68" t="s">
        <v>24</v>
      </c>
      <c r="C32" s="69"/>
      <c r="D32" s="51">
        <f>SUM(D28:D31)</f>
        <v>1171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4" spans="2:7" ht="15.75" x14ac:dyDescent="0.25">
      <c r="B44" s="20" t="s">
        <v>27</v>
      </c>
      <c r="C44" s="15"/>
      <c r="D44" s="16"/>
    </row>
    <row r="45" spans="2:7" ht="15.75" x14ac:dyDescent="0.25">
      <c r="B45" s="67" t="s">
        <v>20</v>
      </c>
      <c r="C45" s="67"/>
      <c r="D45" s="67"/>
    </row>
    <row r="46" spans="2:7" ht="15.75" x14ac:dyDescent="0.25">
      <c r="B46" s="50">
        <v>1</v>
      </c>
      <c r="C46" s="10" t="s">
        <v>10</v>
      </c>
      <c r="D46" s="11">
        <v>15</v>
      </c>
    </row>
    <row r="47" spans="2:7" ht="15.75" x14ac:dyDescent="0.25">
      <c r="B47" s="50">
        <v>2</v>
      </c>
      <c r="C47" s="10" t="s">
        <v>11</v>
      </c>
      <c r="D47" s="11">
        <v>1096</v>
      </c>
    </row>
    <row r="48" spans="2:7" ht="15.75" x14ac:dyDescent="0.25">
      <c r="B48" s="50">
        <v>3</v>
      </c>
      <c r="C48" s="10" t="s">
        <v>34</v>
      </c>
      <c r="D48" s="11">
        <v>0</v>
      </c>
    </row>
    <row r="49" spans="2:7" ht="15.75" x14ac:dyDescent="0.25">
      <c r="B49" s="50">
        <v>4</v>
      </c>
      <c r="C49" s="10" t="s">
        <v>33</v>
      </c>
      <c r="D49" s="11">
        <v>148</v>
      </c>
    </row>
    <row r="50" spans="2:7" ht="15.75" x14ac:dyDescent="0.25">
      <c r="B50" s="50">
        <v>5</v>
      </c>
      <c r="C50" s="10" t="s">
        <v>12</v>
      </c>
      <c r="D50" s="11">
        <v>0</v>
      </c>
    </row>
    <row r="51" spans="2:7" ht="15.75" x14ac:dyDescent="0.25">
      <c r="B51" s="66" t="s">
        <v>24</v>
      </c>
      <c r="C51" s="66"/>
      <c r="D51" s="7">
        <f>SUM(D46:D50)</f>
        <v>1259</v>
      </c>
    </row>
    <row r="55" spans="2:7" x14ac:dyDescent="0.25">
      <c r="G55" s="22" t="s">
        <v>44</v>
      </c>
    </row>
    <row r="63" spans="2:7" ht="15.75" x14ac:dyDescent="0.25">
      <c r="B63" s="20" t="s">
        <v>29</v>
      </c>
    </row>
    <row r="64" spans="2:7" ht="15.75" x14ac:dyDescent="0.25">
      <c r="B64" s="66" t="s">
        <v>13</v>
      </c>
      <c r="C64" s="66"/>
      <c r="D64" s="66"/>
    </row>
    <row r="65" spans="2:7" ht="15.75" x14ac:dyDescent="0.25">
      <c r="B65" s="17">
        <v>1</v>
      </c>
      <c r="C65" s="18" t="s">
        <v>14</v>
      </c>
      <c r="D65" s="19">
        <v>612</v>
      </c>
    </row>
    <row r="66" spans="2:7" ht="31.5" x14ac:dyDescent="0.25">
      <c r="B66" s="17">
        <v>2</v>
      </c>
      <c r="C66" s="18" t="s">
        <v>15</v>
      </c>
      <c r="D66" s="19">
        <v>0</v>
      </c>
      <c r="G66" s="21" t="s">
        <v>30</v>
      </c>
    </row>
    <row r="67" spans="2:7" ht="31.5" x14ac:dyDescent="0.25">
      <c r="B67" s="17">
        <v>3</v>
      </c>
      <c r="C67" s="18" t="s">
        <v>16</v>
      </c>
      <c r="D67" s="19">
        <v>0</v>
      </c>
    </row>
    <row r="68" spans="2:7" ht="31.5" x14ac:dyDescent="0.25">
      <c r="B68" s="17">
        <v>4</v>
      </c>
      <c r="C68" s="18" t="s">
        <v>17</v>
      </c>
      <c r="D68" s="19">
        <v>559</v>
      </c>
    </row>
    <row r="69" spans="2:7" ht="31.5" x14ac:dyDescent="0.25">
      <c r="B69" s="17">
        <v>5</v>
      </c>
      <c r="C69" s="18" t="s">
        <v>18</v>
      </c>
      <c r="D69" s="19">
        <v>0</v>
      </c>
    </row>
    <row r="70" spans="2:7" ht="31.5" x14ac:dyDescent="0.25">
      <c r="B70" s="17">
        <v>6</v>
      </c>
      <c r="C70" s="18" t="s">
        <v>19</v>
      </c>
      <c r="D70" s="19">
        <v>0</v>
      </c>
      <c r="G70" s="22" t="s">
        <v>23</v>
      </c>
    </row>
    <row r="71" spans="2:7" ht="15.75" x14ac:dyDescent="0.25">
      <c r="B71" s="64" t="s">
        <v>24</v>
      </c>
      <c r="C71" s="65"/>
      <c r="D71" s="50">
        <f>SUM(D65:D70)</f>
        <v>1171</v>
      </c>
    </row>
    <row r="74" spans="2:7" x14ac:dyDescent="0.25">
      <c r="G74" s="22" t="s">
        <v>44</v>
      </c>
    </row>
  </sheetData>
  <mergeCells count="17">
    <mergeCell ref="B1:N1"/>
    <mergeCell ref="B2:N2"/>
    <mergeCell ref="B4:N4"/>
    <mergeCell ref="B23:C23"/>
    <mergeCell ref="B22:C22"/>
    <mergeCell ref="B19:C19"/>
    <mergeCell ref="B18:C18"/>
    <mergeCell ref="B20:C20"/>
    <mergeCell ref="B21:C21"/>
    <mergeCell ref="B71:C71"/>
    <mergeCell ref="B64:D64"/>
    <mergeCell ref="B7:D7"/>
    <mergeCell ref="B16:C16"/>
    <mergeCell ref="B27:D27"/>
    <mergeCell ref="B32:C32"/>
    <mergeCell ref="B51:C51"/>
    <mergeCell ref="B45:D45"/>
  </mergeCells>
  <pageMargins left="0.7" right="0.7" top="0.75" bottom="0.75" header="0.3" footer="0.3"/>
  <pageSetup orientation="portrait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4"/>
  <sheetViews>
    <sheetView workbookViewId="0">
      <selection activeCell="O9" sqref="O9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60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59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54"/>
      <c r="C5" s="54"/>
      <c r="D5" s="54"/>
      <c r="E5" s="54"/>
      <c r="F5" s="54"/>
      <c r="G5" s="21" t="s">
        <v>22</v>
      </c>
      <c r="H5" s="54"/>
      <c r="I5" s="54"/>
      <c r="J5" s="54"/>
      <c r="K5" s="54"/>
      <c r="L5" s="54"/>
      <c r="M5" s="54"/>
      <c r="N5" s="54"/>
    </row>
    <row r="6" spans="1:16" ht="23.25" x14ac:dyDescent="0.35">
      <c r="B6" s="20" t="s">
        <v>21</v>
      </c>
      <c r="E6" s="54"/>
      <c r="F6" s="54"/>
      <c r="G6" s="54"/>
      <c r="H6" s="54"/>
      <c r="I6" s="54"/>
      <c r="J6" s="54"/>
      <c r="K6" s="54"/>
      <c r="L6" s="54"/>
      <c r="M6" s="54"/>
      <c r="N6" s="54"/>
    </row>
    <row r="7" spans="1:16" ht="23.25" x14ac:dyDescent="0.35">
      <c r="B7" s="67" t="s">
        <v>8</v>
      </c>
      <c r="C7" s="67"/>
      <c r="D7" s="67"/>
      <c r="E7" s="54"/>
      <c r="F7" s="54"/>
      <c r="G7" s="54"/>
      <c r="H7" s="54"/>
      <c r="I7" s="54"/>
      <c r="J7" s="54"/>
      <c r="K7" s="54"/>
      <c r="L7" s="54"/>
      <c r="M7" s="54"/>
      <c r="N7" s="54"/>
    </row>
    <row r="8" spans="1:16" ht="23.25" x14ac:dyDescent="0.35">
      <c r="B8" s="53">
        <v>1</v>
      </c>
      <c r="C8" s="4" t="s">
        <v>1</v>
      </c>
      <c r="D8" s="19">
        <v>434</v>
      </c>
      <c r="E8" s="54"/>
      <c r="F8" s="54"/>
      <c r="G8" s="54"/>
      <c r="H8" s="54"/>
      <c r="I8" s="54"/>
      <c r="J8" s="54"/>
      <c r="K8" s="54"/>
      <c r="L8" s="54"/>
      <c r="M8" s="54"/>
      <c r="N8" s="54"/>
    </row>
    <row r="9" spans="1:16" ht="15.75" x14ac:dyDescent="0.25">
      <c r="B9" s="53">
        <v>2</v>
      </c>
      <c r="C9" s="5" t="s">
        <v>31</v>
      </c>
      <c r="D9" s="19">
        <v>487</v>
      </c>
    </row>
    <row r="10" spans="1:16" ht="15.75" x14ac:dyDescent="0.25">
      <c r="B10" s="53">
        <v>3</v>
      </c>
      <c r="C10" s="5" t="s">
        <v>2</v>
      </c>
      <c r="D10" s="19">
        <v>119</v>
      </c>
    </row>
    <row r="11" spans="1:16" ht="31.5" x14ac:dyDescent="0.25">
      <c r="B11" s="53">
        <v>4</v>
      </c>
      <c r="C11" s="4" t="s">
        <v>3</v>
      </c>
      <c r="D11" s="19">
        <v>6</v>
      </c>
    </row>
    <row r="12" spans="1:16" ht="15.75" x14ac:dyDescent="0.25">
      <c r="B12" s="53">
        <v>5</v>
      </c>
      <c r="C12" s="4" t="s">
        <v>4</v>
      </c>
      <c r="D12" s="19">
        <v>61</v>
      </c>
    </row>
    <row r="13" spans="1:16" ht="15.75" x14ac:dyDescent="0.25">
      <c r="B13" s="53">
        <v>6</v>
      </c>
      <c r="C13" s="4" t="s">
        <v>38</v>
      </c>
      <c r="D13" s="6">
        <v>0</v>
      </c>
    </row>
    <row r="14" spans="1:16" ht="15.75" x14ac:dyDescent="0.25">
      <c r="B14" s="53">
        <v>7</v>
      </c>
      <c r="C14" s="4" t="s">
        <v>39</v>
      </c>
      <c r="D14" s="19">
        <v>3</v>
      </c>
    </row>
    <row r="15" spans="1:16" ht="15.75" x14ac:dyDescent="0.25">
      <c r="B15" s="66" t="s">
        <v>24</v>
      </c>
      <c r="C15" s="66"/>
      <c r="D15" s="27">
        <f>SUM(D8:D11)+(D14)</f>
        <v>1049</v>
      </c>
    </row>
    <row r="17" spans="2:7" ht="15.75" x14ac:dyDescent="0.25">
      <c r="B17" s="74" t="s">
        <v>35</v>
      </c>
      <c r="C17" s="75"/>
      <c r="D17" s="23">
        <v>1049</v>
      </c>
      <c r="G17" s="22" t="s">
        <v>44</v>
      </c>
    </row>
    <row r="18" spans="2:7" ht="15.75" x14ac:dyDescent="0.25">
      <c r="B18" s="74" t="s">
        <v>36</v>
      </c>
      <c r="C18" s="75"/>
      <c r="D18" s="23">
        <v>6</v>
      </c>
    </row>
    <row r="19" spans="2:7" ht="15.75" x14ac:dyDescent="0.25">
      <c r="B19" s="74" t="s">
        <v>41</v>
      </c>
      <c r="C19" s="75"/>
      <c r="D19" s="23">
        <v>52</v>
      </c>
    </row>
    <row r="20" spans="2:7" ht="15.75" x14ac:dyDescent="0.25">
      <c r="B20" s="74" t="s">
        <v>38</v>
      </c>
      <c r="C20" s="75"/>
      <c r="D20" s="23">
        <v>0</v>
      </c>
    </row>
    <row r="21" spans="2:7" ht="15.75" x14ac:dyDescent="0.25">
      <c r="B21" s="74" t="s">
        <v>39</v>
      </c>
      <c r="C21" s="75"/>
      <c r="D21" s="23">
        <v>3</v>
      </c>
      <c r="G21" s="21" t="s">
        <v>26</v>
      </c>
    </row>
    <row r="22" spans="2:7" ht="15.75" x14ac:dyDescent="0.25">
      <c r="B22" s="74" t="s">
        <v>37</v>
      </c>
      <c r="C22" s="75"/>
      <c r="D22" s="28">
        <f>(D17)-D18-D20-D19-D21</f>
        <v>988</v>
      </c>
    </row>
    <row r="25" spans="2:7" ht="15.75" x14ac:dyDescent="0.25">
      <c r="B25" s="20" t="s">
        <v>25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52">
        <v>1</v>
      </c>
      <c r="C27" s="10" t="s">
        <v>5</v>
      </c>
      <c r="D27" s="11">
        <v>26</v>
      </c>
    </row>
    <row r="28" spans="2:7" ht="31.5" x14ac:dyDescent="0.25">
      <c r="B28" s="53">
        <v>2</v>
      </c>
      <c r="C28" s="12" t="s">
        <v>32</v>
      </c>
      <c r="D28" s="11">
        <v>942</v>
      </c>
    </row>
    <row r="29" spans="2:7" ht="15.75" x14ac:dyDescent="0.25">
      <c r="B29" s="52">
        <v>3</v>
      </c>
      <c r="C29" s="13" t="s">
        <v>6</v>
      </c>
      <c r="D29" s="14">
        <v>0</v>
      </c>
    </row>
    <row r="30" spans="2:7" ht="15.75" x14ac:dyDescent="0.25">
      <c r="B30" s="52">
        <v>4</v>
      </c>
      <c r="C30" s="10" t="s">
        <v>7</v>
      </c>
      <c r="D30" s="14">
        <v>75</v>
      </c>
    </row>
    <row r="31" spans="2:7" ht="15.75" x14ac:dyDescent="0.25">
      <c r="B31" s="68" t="s">
        <v>24</v>
      </c>
      <c r="C31" s="69"/>
      <c r="D31" s="53">
        <f>SUM(D27:D30)</f>
        <v>1043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3" spans="2:7" ht="15.75" x14ac:dyDescent="0.25">
      <c r="B43" s="20" t="s">
        <v>27</v>
      </c>
      <c r="C43" s="15"/>
      <c r="D43" s="16"/>
    </row>
    <row r="44" spans="2:7" ht="15.75" x14ac:dyDescent="0.25">
      <c r="B44" s="67" t="s">
        <v>20</v>
      </c>
      <c r="C44" s="67"/>
      <c r="D44" s="67"/>
    </row>
    <row r="45" spans="2:7" ht="15.75" x14ac:dyDescent="0.25">
      <c r="B45" s="52">
        <v>1</v>
      </c>
      <c r="C45" s="10" t="s">
        <v>10</v>
      </c>
      <c r="D45" s="11">
        <v>22</v>
      </c>
    </row>
    <row r="46" spans="2:7" ht="15.75" x14ac:dyDescent="0.25">
      <c r="B46" s="52">
        <v>2</v>
      </c>
      <c r="C46" s="10" t="s">
        <v>11</v>
      </c>
      <c r="D46" s="11">
        <v>911</v>
      </c>
    </row>
    <row r="47" spans="2:7" ht="15.75" x14ac:dyDescent="0.25">
      <c r="B47" s="52">
        <v>3</v>
      </c>
      <c r="C47" s="10" t="s">
        <v>34</v>
      </c>
      <c r="D47" s="11">
        <v>0</v>
      </c>
    </row>
    <row r="48" spans="2:7" ht="15.75" x14ac:dyDescent="0.25">
      <c r="B48" s="52">
        <v>4</v>
      </c>
      <c r="C48" s="10" t="s">
        <v>33</v>
      </c>
      <c r="D48" s="11">
        <v>116</v>
      </c>
    </row>
    <row r="49" spans="2:7" ht="15.75" x14ac:dyDescent="0.25">
      <c r="B49" s="52">
        <v>5</v>
      </c>
      <c r="C49" s="10" t="s">
        <v>12</v>
      </c>
      <c r="D49" s="11">
        <v>0</v>
      </c>
    </row>
    <row r="50" spans="2:7" ht="15.75" x14ac:dyDescent="0.25">
      <c r="B50" s="66" t="s">
        <v>24</v>
      </c>
      <c r="C50" s="66"/>
      <c r="D50" s="7">
        <f>SUM(D45:D49)</f>
        <v>1049</v>
      </c>
    </row>
    <row r="55" spans="2:7" x14ac:dyDescent="0.25">
      <c r="G55" s="22" t="s">
        <v>44</v>
      </c>
    </row>
    <row r="62" spans="2:7" ht="15.75" x14ac:dyDescent="0.25">
      <c r="B62" s="20" t="s">
        <v>29</v>
      </c>
    </row>
    <row r="63" spans="2:7" ht="15.75" x14ac:dyDescent="0.25">
      <c r="B63" s="66" t="s">
        <v>13</v>
      </c>
      <c r="C63" s="66"/>
      <c r="D63" s="66"/>
    </row>
    <row r="64" spans="2:7" ht="15.75" x14ac:dyDescent="0.25">
      <c r="B64" s="17">
        <v>1</v>
      </c>
      <c r="C64" s="18" t="s">
        <v>14</v>
      </c>
      <c r="D64" s="19">
        <v>436</v>
      </c>
    </row>
    <row r="65" spans="2:7" ht="31.5" x14ac:dyDescent="0.25">
      <c r="B65" s="17">
        <v>2</v>
      </c>
      <c r="C65" s="18" t="s">
        <v>15</v>
      </c>
      <c r="D65" s="19">
        <v>6</v>
      </c>
    </row>
    <row r="66" spans="2:7" ht="31.5" x14ac:dyDescent="0.25">
      <c r="B66" s="17">
        <v>3</v>
      </c>
      <c r="C66" s="18" t="s">
        <v>16</v>
      </c>
      <c r="D66" s="19">
        <v>64</v>
      </c>
      <c r="G66" s="21" t="s">
        <v>30</v>
      </c>
    </row>
    <row r="67" spans="2:7" ht="31.5" x14ac:dyDescent="0.25">
      <c r="B67" s="17">
        <v>4</v>
      </c>
      <c r="C67" s="18" t="s">
        <v>17</v>
      </c>
      <c r="D67" s="19">
        <v>480</v>
      </c>
    </row>
    <row r="68" spans="2:7" ht="31.5" x14ac:dyDescent="0.25">
      <c r="B68" s="17">
        <v>5</v>
      </c>
      <c r="C68" s="18" t="s">
        <v>18</v>
      </c>
      <c r="D68" s="19">
        <v>2</v>
      </c>
    </row>
    <row r="69" spans="2:7" ht="31.5" x14ac:dyDescent="0.25">
      <c r="B69" s="17">
        <v>6</v>
      </c>
      <c r="C69" s="18" t="s">
        <v>19</v>
      </c>
      <c r="D69" s="19">
        <v>0</v>
      </c>
    </row>
    <row r="70" spans="2:7" ht="15.75" x14ac:dyDescent="0.25">
      <c r="B70" s="64" t="s">
        <v>24</v>
      </c>
      <c r="C70" s="65"/>
      <c r="D70" s="52">
        <f>SUM(D64:D69)</f>
        <v>988</v>
      </c>
      <c r="G70" s="22" t="s">
        <v>23</v>
      </c>
    </row>
    <row r="74" spans="2:7" x14ac:dyDescent="0.25">
      <c r="G74" s="22" t="s">
        <v>44</v>
      </c>
    </row>
  </sheetData>
  <mergeCells count="17"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70:C70"/>
    <mergeCell ref="B63:D63"/>
    <mergeCell ref="B7:D7"/>
    <mergeCell ref="B15:C15"/>
    <mergeCell ref="B26:D26"/>
    <mergeCell ref="B31:C31"/>
    <mergeCell ref="B50:C50"/>
    <mergeCell ref="B44:D44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3"/>
  <sheetViews>
    <sheetView workbookViewId="0">
      <selection activeCell="N8" sqref="N8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62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61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55"/>
      <c r="C5" s="55"/>
      <c r="D5" s="55"/>
      <c r="E5" s="55"/>
      <c r="F5" s="55"/>
      <c r="G5" s="21" t="s">
        <v>22</v>
      </c>
      <c r="H5" s="55"/>
      <c r="I5" s="55"/>
      <c r="J5" s="55"/>
      <c r="K5" s="55"/>
      <c r="L5" s="55"/>
      <c r="M5" s="55"/>
      <c r="N5" s="55"/>
    </row>
    <row r="6" spans="1:16" ht="23.25" x14ac:dyDescent="0.35">
      <c r="B6" s="20" t="s">
        <v>21</v>
      </c>
      <c r="E6" s="55"/>
      <c r="F6" s="55"/>
      <c r="G6" s="55"/>
      <c r="H6" s="55"/>
      <c r="I6" s="55"/>
      <c r="J6" s="55"/>
      <c r="K6" s="55"/>
      <c r="L6" s="55"/>
      <c r="M6" s="55"/>
      <c r="N6" s="55"/>
    </row>
    <row r="7" spans="1:16" ht="23.25" x14ac:dyDescent="0.35">
      <c r="B7" s="67" t="s">
        <v>8</v>
      </c>
      <c r="C7" s="67"/>
      <c r="D7" s="67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spans="1:16" ht="23.25" x14ac:dyDescent="0.35">
      <c r="B8" s="57">
        <v>1</v>
      </c>
      <c r="C8" s="4" t="s">
        <v>1</v>
      </c>
      <c r="D8" s="19">
        <v>439</v>
      </c>
      <c r="E8" s="55"/>
      <c r="F8" s="55"/>
      <c r="G8" s="55"/>
      <c r="H8" s="55"/>
      <c r="I8" s="55"/>
      <c r="J8" s="55"/>
      <c r="K8" s="55"/>
      <c r="L8" s="55"/>
      <c r="M8" s="55"/>
      <c r="N8" s="55"/>
    </row>
    <row r="9" spans="1:16" ht="15.75" x14ac:dyDescent="0.25">
      <c r="B9" s="57">
        <v>2</v>
      </c>
      <c r="C9" s="5" t="s">
        <v>31</v>
      </c>
      <c r="D9" s="19">
        <v>385</v>
      </c>
    </row>
    <row r="10" spans="1:16" ht="15.75" x14ac:dyDescent="0.25">
      <c r="B10" s="57">
        <v>3</v>
      </c>
      <c r="C10" s="5" t="s">
        <v>2</v>
      </c>
      <c r="D10" s="19">
        <v>131</v>
      </c>
    </row>
    <row r="11" spans="1:16" ht="31.5" x14ac:dyDescent="0.25">
      <c r="B11" s="57">
        <v>4</v>
      </c>
      <c r="C11" s="4" t="s">
        <v>3</v>
      </c>
      <c r="D11" s="19">
        <v>20</v>
      </c>
    </row>
    <row r="12" spans="1:16" ht="15.75" x14ac:dyDescent="0.25">
      <c r="B12" s="57">
        <v>5</v>
      </c>
      <c r="C12" s="4" t="s">
        <v>4</v>
      </c>
      <c r="D12" s="19">
        <v>33</v>
      </c>
    </row>
    <row r="13" spans="1:16" ht="15.75" x14ac:dyDescent="0.25">
      <c r="B13" s="57">
        <v>6</v>
      </c>
      <c r="C13" s="4" t="s">
        <v>38</v>
      </c>
      <c r="D13" s="6">
        <v>0</v>
      </c>
    </row>
    <row r="14" spans="1:16" ht="15.75" x14ac:dyDescent="0.25">
      <c r="B14" s="57">
        <v>7</v>
      </c>
      <c r="C14" s="4" t="s">
        <v>39</v>
      </c>
      <c r="D14" s="19">
        <v>0</v>
      </c>
    </row>
    <row r="15" spans="1:16" ht="15.75" x14ac:dyDescent="0.25">
      <c r="B15" s="66" t="s">
        <v>24</v>
      </c>
      <c r="C15" s="66"/>
      <c r="D15" s="27">
        <f>SUM(D8:D11)+(D14)</f>
        <v>975</v>
      </c>
    </row>
    <row r="17" spans="2:7" ht="15.75" x14ac:dyDescent="0.25">
      <c r="B17" s="74" t="s">
        <v>35</v>
      </c>
      <c r="C17" s="75"/>
      <c r="D17" s="23">
        <v>975</v>
      </c>
      <c r="G17" s="22" t="s">
        <v>44</v>
      </c>
    </row>
    <row r="18" spans="2:7" ht="15.75" x14ac:dyDescent="0.25">
      <c r="B18" s="74" t="s">
        <v>36</v>
      </c>
      <c r="C18" s="75"/>
      <c r="D18" s="23">
        <v>20</v>
      </c>
    </row>
    <row r="19" spans="2:7" ht="15.75" x14ac:dyDescent="0.25">
      <c r="B19" s="74" t="s">
        <v>41</v>
      </c>
      <c r="C19" s="75"/>
      <c r="D19" s="23">
        <v>0</v>
      </c>
    </row>
    <row r="20" spans="2:7" ht="15.75" x14ac:dyDescent="0.25">
      <c r="B20" s="74" t="s">
        <v>38</v>
      </c>
      <c r="C20" s="75"/>
      <c r="D20" s="23">
        <v>0</v>
      </c>
    </row>
    <row r="21" spans="2:7" ht="15.75" x14ac:dyDescent="0.25">
      <c r="B21" s="74" t="s">
        <v>39</v>
      </c>
      <c r="C21" s="75"/>
      <c r="D21" s="23">
        <v>0</v>
      </c>
      <c r="G21" s="21" t="s">
        <v>26</v>
      </c>
    </row>
    <row r="22" spans="2:7" ht="15.75" x14ac:dyDescent="0.25">
      <c r="B22" s="74" t="s">
        <v>37</v>
      </c>
      <c r="C22" s="75"/>
      <c r="D22" s="28">
        <f>(D17)-D18-D20-D19-D21</f>
        <v>955</v>
      </c>
    </row>
    <row r="25" spans="2:7" ht="15.75" x14ac:dyDescent="0.25">
      <c r="B25" s="20" t="s">
        <v>25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56">
        <v>1</v>
      </c>
      <c r="C27" s="10" t="s">
        <v>5</v>
      </c>
      <c r="D27" s="11">
        <v>21</v>
      </c>
    </row>
    <row r="28" spans="2:7" ht="31.5" x14ac:dyDescent="0.25">
      <c r="B28" s="57">
        <v>2</v>
      </c>
      <c r="C28" s="12" t="s">
        <v>32</v>
      </c>
      <c r="D28" s="11">
        <v>873</v>
      </c>
    </row>
    <row r="29" spans="2:7" ht="15.75" x14ac:dyDescent="0.25">
      <c r="B29" s="56">
        <v>3</v>
      </c>
      <c r="C29" s="13" t="s">
        <v>6</v>
      </c>
      <c r="D29" s="14">
        <v>1</v>
      </c>
    </row>
    <row r="30" spans="2:7" ht="15.75" x14ac:dyDescent="0.25">
      <c r="B30" s="56">
        <v>4</v>
      </c>
      <c r="C30" s="10" t="s">
        <v>7</v>
      </c>
      <c r="D30" s="14">
        <v>60</v>
      </c>
    </row>
    <row r="31" spans="2:7" ht="15.75" x14ac:dyDescent="0.25">
      <c r="B31" s="68" t="s">
        <v>24</v>
      </c>
      <c r="C31" s="69"/>
      <c r="D31" s="57">
        <f>SUM(D27:D30)</f>
        <v>955</v>
      </c>
    </row>
    <row r="35" spans="2:7" x14ac:dyDescent="0.25">
      <c r="G35" s="22" t="s">
        <v>44</v>
      </c>
    </row>
    <row r="40" spans="2:7" ht="15.75" x14ac:dyDescent="0.25">
      <c r="G40" s="21" t="s">
        <v>28</v>
      </c>
    </row>
    <row r="43" spans="2:7" ht="15.75" x14ac:dyDescent="0.25">
      <c r="B43" s="20" t="s">
        <v>27</v>
      </c>
      <c r="C43" s="15"/>
      <c r="D43" s="16"/>
    </row>
    <row r="44" spans="2:7" ht="15.75" x14ac:dyDescent="0.25">
      <c r="B44" s="67" t="s">
        <v>20</v>
      </c>
      <c r="C44" s="67"/>
      <c r="D44" s="67"/>
    </row>
    <row r="45" spans="2:7" ht="15.75" x14ac:dyDescent="0.25">
      <c r="B45" s="56">
        <v>1</v>
      </c>
      <c r="C45" s="10" t="s">
        <v>10</v>
      </c>
      <c r="D45" s="11">
        <v>28</v>
      </c>
    </row>
    <row r="46" spans="2:7" ht="15.75" x14ac:dyDescent="0.25">
      <c r="B46" s="56">
        <v>2</v>
      </c>
      <c r="C46" s="10" t="s">
        <v>11</v>
      </c>
      <c r="D46" s="11">
        <v>908</v>
      </c>
    </row>
    <row r="47" spans="2:7" ht="15.75" x14ac:dyDescent="0.25">
      <c r="B47" s="56">
        <v>3</v>
      </c>
      <c r="C47" s="10" t="s">
        <v>34</v>
      </c>
      <c r="D47" s="11">
        <v>0</v>
      </c>
    </row>
    <row r="48" spans="2:7" ht="15.75" x14ac:dyDescent="0.25">
      <c r="B48" s="56">
        <v>4</v>
      </c>
      <c r="C48" s="10" t="s">
        <v>33</v>
      </c>
      <c r="D48" s="11">
        <v>39</v>
      </c>
    </row>
    <row r="49" spans="2:7" ht="15.75" x14ac:dyDescent="0.25">
      <c r="B49" s="56">
        <v>5</v>
      </c>
      <c r="C49" s="10" t="s">
        <v>12</v>
      </c>
      <c r="D49" s="11">
        <v>0</v>
      </c>
    </row>
    <row r="50" spans="2:7" ht="15.75" x14ac:dyDescent="0.25">
      <c r="B50" s="66" t="s">
        <v>24</v>
      </c>
      <c r="C50" s="66"/>
      <c r="D50" s="7">
        <f>SUM(D45:D49)</f>
        <v>975</v>
      </c>
    </row>
    <row r="55" spans="2:7" x14ac:dyDescent="0.25">
      <c r="G55" s="22" t="s">
        <v>44</v>
      </c>
    </row>
    <row r="62" spans="2:7" ht="15.75" x14ac:dyDescent="0.25">
      <c r="B62" s="20" t="s">
        <v>29</v>
      </c>
    </row>
    <row r="63" spans="2:7" ht="15.75" x14ac:dyDescent="0.25">
      <c r="B63" s="66" t="s">
        <v>13</v>
      </c>
      <c r="C63" s="66"/>
      <c r="D63" s="66"/>
    </row>
    <row r="64" spans="2:7" ht="31.5" x14ac:dyDescent="0.25">
      <c r="B64" s="17">
        <v>1</v>
      </c>
      <c r="C64" s="18" t="s">
        <v>15</v>
      </c>
      <c r="D64" s="19">
        <v>5</v>
      </c>
    </row>
    <row r="65" spans="2:7" ht="31.5" x14ac:dyDescent="0.25">
      <c r="B65" s="17">
        <v>2</v>
      </c>
      <c r="C65" s="18" t="s">
        <v>16</v>
      </c>
      <c r="D65" s="19">
        <v>557</v>
      </c>
      <c r="G65" s="21" t="s">
        <v>30</v>
      </c>
    </row>
    <row r="66" spans="2:7" ht="31.5" x14ac:dyDescent="0.25">
      <c r="B66" s="17">
        <v>3</v>
      </c>
      <c r="C66" s="18" t="s">
        <v>17</v>
      </c>
      <c r="D66" s="19">
        <v>392</v>
      </c>
    </row>
    <row r="67" spans="2:7" ht="31.5" x14ac:dyDescent="0.25">
      <c r="B67" s="17">
        <v>4</v>
      </c>
      <c r="C67" s="18" t="s">
        <v>18</v>
      </c>
      <c r="D67" s="19">
        <v>1</v>
      </c>
    </row>
    <row r="68" spans="2:7" ht="31.5" x14ac:dyDescent="0.25">
      <c r="B68" s="17">
        <v>5</v>
      </c>
      <c r="C68" s="18" t="s">
        <v>19</v>
      </c>
      <c r="D68" s="19">
        <v>0</v>
      </c>
    </row>
    <row r="69" spans="2:7" ht="15.75" x14ac:dyDescent="0.25">
      <c r="B69" s="64" t="s">
        <v>24</v>
      </c>
      <c r="C69" s="65"/>
      <c r="D69" s="56">
        <f>SUM(D64:D68)</f>
        <v>955</v>
      </c>
      <c r="G69" s="22" t="s">
        <v>23</v>
      </c>
    </row>
    <row r="73" spans="2:7" x14ac:dyDescent="0.25">
      <c r="G73" s="22" t="s">
        <v>44</v>
      </c>
    </row>
  </sheetData>
  <mergeCells count="17"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69:C69"/>
    <mergeCell ref="B63:D63"/>
    <mergeCell ref="B7:D7"/>
    <mergeCell ref="B15:C15"/>
    <mergeCell ref="B26:D26"/>
    <mergeCell ref="B31:C31"/>
    <mergeCell ref="B50:C50"/>
    <mergeCell ref="B44:D44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6"/>
  <sheetViews>
    <sheetView workbookViewId="0">
      <selection activeCell="B4" sqref="B4:N4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64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63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60"/>
      <c r="C5" s="60"/>
      <c r="D5" s="60"/>
      <c r="E5" s="60"/>
      <c r="F5" s="60"/>
      <c r="G5" s="21" t="s">
        <v>22</v>
      </c>
      <c r="H5" s="60"/>
      <c r="I5" s="60"/>
      <c r="J5" s="60"/>
      <c r="K5" s="60"/>
      <c r="L5" s="60"/>
      <c r="M5" s="60"/>
      <c r="N5" s="60"/>
    </row>
    <row r="6" spans="1:16" ht="23.25" x14ac:dyDescent="0.35">
      <c r="B6" s="20" t="s">
        <v>21</v>
      </c>
      <c r="E6" s="60"/>
      <c r="F6" s="60"/>
      <c r="G6" s="60"/>
      <c r="H6" s="60"/>
      <c r="I6" s="60"/>
      <c r="J6" s="60"/>
      <c r="K6" s="60"/>
      <c r="L6" s="60"/>
      <c r="M6" s="60"/>
      <c r="N6" s="60"/>
    </row>
    <row r="7" spans="1:16" ht="23.25" x14ac:dyDescent="0.35">
      <c r="B7" s="67" t="s">
        <v>8</v>
      </c>
      <c r="C7" s="67"/>
      <c r="D7" s="67"/>
      <c r="E7" s="60"/>
      <c r="F7" s="60"/>
      <c r="G7" s="60"/>
      <c r="H7" s="60"/>
      <c r="I7" s="60"/>
      <c r="J7" s="60"/>
      <c r="K7" s="60"/>
      <c r="L7" s="60"/>
      <c r="M7" s="60"/>
      <c r="N7" s="60"/>
    </row>
    <row r="8" spans="1:16" ht="23.25" x14ac:dyDescent="0.35">
      <c r="B8" s="59">
        <v>1</v>
      </c>
      <c r="C8" s="4" t="s">
        <v>1</v>
      </c>
      <c r="D8" s="19">
        <v>501</v>
      </c>
      <c r="E8" s="60"/>
      <c r="F8" s="60"/>
      <c r="G8" s="60"/>
      <c r="H8" s="60"/>
      <c r="I8" s="60"/>
      <c r="J8" s="60"/>
      <c r="K8" s="60"/>
      <c r="L8" s="60"/>
      <c r="M8" s="60"/>
      <c r="N8" s="60"/>
    </row>
    <row r="9" spans="1:16" ht="15.75" x14ac:dyDescent="0.25">
      <c r="B9" s="59">
        <v>2</v>
      </c>
      <c r="C9" s="5" t="s">
        <v>31</v>
      </c>
      <c r="D9" s="19">
        <v>425</v>
      </c>
    </row>
    <row r="10" spans="1:16" ht="15.75" x14ac:dyDescent="0.25">
      <c r="B10" s="59">
        <v>3</v>
      </c>
      <c r="C10" s="5" t="s">
        <v>2</v>
      </c>
      <c r="D10" s="19">
        <v>216</v>
      </c>
    </row>
    <row r="11" spans="1:16" ht="31.5" x14ac:dyDescent="0.25">
      <c r="B11" s="59">
        <v>4</v>
      </c>
      <c r="C11" s="4" t="s">
        <v>3</v>
      </c>
      <c r="D11" s="19">
        <v>26</v>
      </c>
    </row>
    <row r="12" spans="1:16" ht="15.75" x14ac:dyDescent="0.25">
      <c r="B12" s="59">
        <v>5</v>
      </c>
      <c r="C12" s="4" t="s">
        <v>4</v>
      </c>
      <c r="D12" s="19">
        <v>50</v>
      </c>
    </row>
    <row r="13" spans="1:16" ht="15.75" x14ac:dyDescent="0.25">
      <c r="B13" s="59">
        <v>6</v>
      </c>
      <c r="C13" s="4" t="s">
        <v>38</v>
      </c>
      <c r="D13" s="6">
        <v>0</v>
      </c>
    </row>
    <row r="14" spans="1:16" ht="15.75" x14ac:dyDescent="0.25">
      <c r="B14" s="59">
        <v>7</v>
      </c>
      <c r="C14" s="4" t="s">
        <v>39</v>
      </c>
      <c r="D14" s="19">
        <v>1</v>
      </c>
    </row>
    <row r="15" spans="1:16" ht="15.75" x14ac:dyDescent="0.25">
      <c r="B15" s="66" t="s">
        <v>24</v>
      </c>
      <c r="C15" s="66"/>
      <c r="D15" s="27">
        <f>SUM(D8:D11)</f>
        <v>1168</v>
      </c>
    </row>
    <row r="17" spans="2:7" ht="15.75" x14ac:dyDescent="0.25">
      <c r="B17" s="74" t="s">
        <v>35</v>
      </c>
      <c r="C17" s="75"/>
      <c r="D17" s="23">
        <v>1168</v>
      </c>
      <c r="G17" s="22" t="s">
        <v>44</v>
      </c>
    </row>
    <row r="18" spans="2:7" ht="15.75" x14ac:dyDescent="0.25">
      <c r="B18" s="74" t="s">
        <v>36</v>
      </c>
      <c r="C18" s="75"/>
      <c r="D18" s="23">
        <v>26</v>
      </c>
    </row>
    <row r="19" spans="2:7" ht="15.75" x14ac:dyDescent="0.25">
      <c r="B19" s="74" t="s">
        <v>41</v>
      </c>
      <c r="C19" s="75"/>
      <c r="D19" s="23">
        <v>0</v>
      </c>
    </row>
    <row r="20" spans="2:7" ht="15.75" x14ac:dyDescent="0.25">
      <c r="B20" s="74" t="s">
        <v>38</v>
      </c>
      <c r="C20" s="75"/>
      <c r="D20" s="23">
        <v>0</v>
      </c>
    </row>
    <row r="21" spans="2:7" ht="15.75" x14ac:dyDescent="0.25">
      <c r="B21" s="74" t="s">
        <v>39</v>
      </c>
      <c r="C21" s="75"/>
      <c r="D21" s="23">
        <v>1</v>
      </c>
      <c r="G21" s="21" t="s">
        <v>26</v>
      </c>
    </row>
    <row r="22" spans="2:7" ht="15.75" x14ac:dyDescent="0.25">
      <c r="B22" s="74" t="s">
        <v>37</v>
      </c>
      <c r="C22" s="75"/>
      <c r="D22" s="28">
        <f>(D17)-D18-D19</f>
        <v>1142</v>
      </c>
    </row>
    <row r="25" spans="2:7" ht="15.75" x14ac:dyDescent="0.25">
      <c r="B25" s="20" t="s">
        <v>25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58">
        <v>1</v>
      </c>
      <c r="C27" s="10" t="s">
        <v>5</v>
      </c>
      <c r="D27" s="11">
        <v>31</v>
      </c>
    </row>
    <row r="28" spans="2:7" ht="31.5" x14ac:dyDescent="0.25">
      <c r="B28" s="59">
        <v>2</v>
      </c>
      <c r="C28" s="12" t="s">
        <v>32</v>
      </c>
      <c r="D28" s="11">
        <v>1080</v>
      </c>
    </row>
    <row r="29" spans="2:7" ht="15.75" x14ac:dyDescent="0.25">
      <c r="B29" s="58">
        <v>3</v>
      </c>
      <c r="C29" s="13" t="s">
        <v>6</v>
      </c>
      <c r="D29" s="14">
        <v>1</v>
      </c>
    </row>
    <row r="30" spans="2:7" ht="15.75" x14ac:dyDescent="0.25">
      <c r="B30" s="58">
        <v>4</v>
      </c>
      <c r="C30" s="10" t="s">
        <v>7</v>
      </c>
      <c r="D30" s="14">
        <v>30</v>
      </c>
    </row>
    <row r="31" spans="2:7" ht="15.75" x14ac:dyDescent="0.25">
      <c r="B31" s="68" t="s">
        <v>24</v>
      </c>
      <c r="C31" s="69"/>
      <c r="D31" s="59">
        <f>SUM(D27:D30)</f>
        <v>1142</v>
      </c>
    </row>
    <row r="35" spans="2:7" x14ac:dyDescent="0.25">
      <c r="G35" s="22" t="s">
        <v>44</v>
      </c>
    </row>
    <row r="40" spans="2:7" ht="15.75" x14ac:dyDescent="0.25">
      <c r="B40" s="20" t="s">
        <v>27</v>
      </c>
      <c r="C40" s="15"/>
      <c r="D40" s="16"/>
      <c r="G40" s="21" t="s">
        <v>28</v>
      </c>
    </row>
    <row r="41" spans="2:7" ht="15.75" x14ac:dyDescent="0.25">
      <c r="B41" s="67" t="s">
        <v>20</v>
      </c>
      <c r="C41" s="67"/>
      <c r="D41" s="67"/>
    </row>
    <row r="42" spans="2:7" ht="15.75" x14ac:dyDescent="0.25">
      <c r="B42" s="58">
        <v>1</v>
      </c>
      <c r="C42" s="10" t="s">
        <v>10</v>
      </c>
      <c r="D42" s="11">
        <v>27</v>
      </c>
    </row>
    <row r="43" spans="2:7" ht="15.75" x14ac:dyDescent="0.25">
      <c r="B43" s="58">
        <v>2</v>
      </c>
      <c r="C43" s="10" t="s">
        <v>11</v>
      </c>
      <c r="D43" s="11">
        <v>1040</v>
      </c>
    </row>
    <row r="44" spans="2:7" ht="15.75" x14ac:dyDescent="0.25">
      <c r="B44" s="58">
        <v>3</v>
      </c>
      <c r="C44" s="10" t="s">
        <v>34</v>
      </c>
      <c r="D44" s="11">
        <v>0</v>
      </c>
    </row>
    <row r="45" spans="2:7" ht="15.75" x14ac:dyDescent="0.25">
      <c r="B45" s="58">
        <v>4</v>
      </c>
      <c r="C45" s="10" t="s">
        <v>33</v>
      </c>
      <c r="D45" s="11">
        <v>101</v>
      </c>
    </row>
    <row r="46" spans="2:7" ht="15.75" x14ac:dyDescent="0.25">
      <c r="B46" s="58">
        <v>5</v>
      </c>
      <c r="C46" s="10" t="s">
        <v>12</v>
      </c>
      <c r="D46" s="11">
        <v>0</v>
      </c>
    </row>
    <row r="47" spans="2:7" ht="15.75" x14ac:dyDescent="0.25">
      <c r="B47" s="66" t="s">
        <v>24</v>
      </c>
      <c r="C47" s="66"/>
      <c r="D47" s="7">
        <f>SUM(D42:D46)</f>
        <v>1168</v>
      </c>
    </row>
    <row r="55" spans="2:7" ht="15.75" x14ac:dyDescent="0.25">
      <c r="B55" s="20" t="s">
        <v>29</v>
      </c>
      <c r="G55" s="22" t="s">
        <v>44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15</v>
      </c>
      <c r="D57" s="19">
        <v>1</v>
      </c>
    </row>
    <row r="58" spans="2:7" ht="31.5" x14ac:dyDescent="0.25">
      <c r="B58" s="17">
        <v>2</v>
      </c>
      <c r="C58" s="18" t="s">
        <v>16</v>
      </c>
      <c r="D58" s="19">
        <v>693</v>
      </c>
      <c r="G58" s="21" t="s">
        <v>30</v>
      </c>
    </row>
    <row r="59" spans="2:7" ht="31.5" x14ac:dyDescent="0.25">
      <c r="B59" s="17">
        <v>3</v>
      </c>
      <c r="C59" s="18" t="s">
        <v>17</v>
      </c>
      <c r="D59" s="19">
        <v>448</v>
      </c>
    </row>
    <row r="60" spans="2:7" ht="31.5" x14ac:dyDescent="0.25">
      <c r="B60" s="17">
        <v>4</v>
      </c>
      <c r="C60" s="18" t="s">
        <v>18</v>
      </c>
      <c r="D60" s="19">
        <v>0</v>
      </c>
    </row>
    <row r="61" spans="2:7" ht="31.5" x14ac:dyDescent="0.25">
      <c r="B61" s="17">
        <v>5</v>
      </c>
      <c r="C61" s="18" t="s">
        <v>19</v>
      </c>
      <c r="D61" s="19">
        <v>0</v>
      </c>
    </row>
    <row r="62" spans="2:7" ht="15.75" x14ac:dyDescent="0.25">
      <c r="B62" s="64" t="s">
        <v>24</v>
      </c>
      <c r="C62" s="65"/>
      <c r="D62" s="58">
        <f>SUM(D57:D61)</f>
        <v>1142</v>
      </c>
      <c r="G62" s="22" t="s">
        <v>23</v>
      </c>
    </row>
    <row r="66" spans="7:7" x14ac:dyDescent="0.25">
      <c r="G66" s="22" t="s">
        <v>44</v>
      </c>
    </row>
  </sheetData>
  <mergeCells count="17">
    <mergeCell ref="B62:C62"/>
    <mergeCell ref="B56:D56"/>
    <mergeCell ref="B7:D7"/>
    <mergeCell ref="B15:C15"/>
    <mergeCell ref="B26:D26"/>
    <mergeCell ref="B31:C31"/>
    <mergeCell ref="B47:C47"/>
    <mergeCell ref="B41:D41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tabSelected="1" workbookViewId="0">
      <selection activeCell="B4" sqref="B4:N4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1.85546875" style="2" bestFit="1" customWidth="1"/>
    <col min="5" max="16384" width="11.42578125" style="2"/>
  </cols>
  <sheetData>
    <row r="1" spans="1:16" ht="133.5" customHeight="1" x14ac:dyDescent="0.25">
      <c r="A1" s="29"/>
      <c r="B1" s="70" t="s">
        <v>67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30"/>
      <c r="P1" s="1"/>
    </row>
    <row r="2" spans="1:16" ht="23.25" x14ac:dyDescent="0.35">
      <c r="A2" s="29"/>
      <c r="B2" s="71" t="s">
        <v>0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29"/>
    </row>
    <row r="4" spans="1:16" ht="23.25" x14ac:dyDescent="0.35">
      <c r="B4" s="73" t="s">
        <v>66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</row>
    <row r="5" spans="1:16" ht="23.25" x14ac:dyDescent="0.35">
      <c r="B5" s="61"/>
      <c r="C5" s="61"/>
      <c r="D5" s="61"/>
      <c r="E5" s="61"/>
      <c r="F5" s="61"/>
      <c r="G5" s="21" t="s">
        <v>22</v>
      </c>
      <c r="H5" s="61"/>
      <c r="I5" s="61"/>
      <c r="J5" s="61"/>
      <c r="K5" s="61"/>
      <c r="L5" s="61"/>
      <c r="M5" s="61"/>
      <c r="N5" s="61"/>
    </row>
    <row r="6" spans="1:16" ht="23.25" x14ac:dyDescent="0.35">
      <c r="B6" s="20" t="s">
        <v>21</v>
      </c>
      <c r="E6" s="61"/>
      <c r="F6" s="61"/>
      <c r="G6" s="61"/>
      <c r="H6" s="61"/>
      <c r="I6" s="61"/>
      <c r="J6" s="61"/>
      <c r="K6" s="61"/>
      <c r="L6" s="61"/>
      <c r="M6" s="61"/>
      <c r="N6" s="61"/>
    </row>
    <row r="7" spans="1:16" ht="23.25" x14ac:dyDescent="0.35">
      <c r="B7" s="67" t="s">
        <v>8</v>
      </c>
      <c r="C7" s="67"/>
      <c r="D7" s="67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1:16" ht="23.25" x14ac:dyDescent="0.35">
      <c r="B8" s="63">
        <v>1</v>
      </c>
      <c r="C8" s="4" t="s">
        <v>1</v>
      </c>
      <c r="D8" s="19">
        <v>246</v>
      </c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16" ht="15.75" x14ac:dyDescent="0.25">
      <c r="B9" s="63">
        <v>2</v>
      </c>
      <c r="C9" s="5" t="s">
        <v>31</v>
      </c>
      <c r="D9" s="19">
        <v>201</v>
      </c>
    </row>
    <row r="10" spans="1:16" ht="15.75" x14ac:dyDescent="0.25">
      <c r="B10" s="63">
        <v>3</v>
      </c>
      <c r="C10" s="5" t="s">
        <v>2</v>
      </c>
      <c r="D10" s="19">
        <v>118</v>
      </c>
    </row>
    <row r="11" spans="1:16" ht="31.5" x14ac:dyDescent="0.25">
      <c r="B11" s="63">
        <v>4</v>
      </c>
      <c r="C11" s="4" t="s">
        <v>3</v>
      </c>
      <c r="D11" s="19">
        <v>11</v>
      </c>
    </row>
    <row r="12" spans="1:16" ht="15.75" x14ac:dyDescent="0.25">
      <c r="B12" s="63">
        <v>5</v>
      </c>
      <c r="C12" s="4" t="s">
        <v>4</v>
      </c>
      <c r="D12" s="19">
        <v>17</v>
      </c>
    </row>
    <row r="13" spans="1:16" ht="15.75" x14ac:dyDescent="0.25">
      <c r="B13" s="63">
        <v>6</v>
      </c>
      <c r="C13" s="4" t="s">
        <v>38</v>
      </c>
      <c r="D13" s="6">
        <v>0</v>
      </c>
    </row>
    <row r="14" spans="1:16" ht="15.75" x14ac:dyDescent="0.25">
      <c r="B14" s="63">
        <v>7</v>
      </c>
      <c r="C14" s="4" t="s">
        <v>39</v>
      </c>
      <c r="D14" s="19">
        <v>2</v>
      </c>
    </row>
    <row r="15" spans="1:16" ht="15.75" x14ac:dyDescent="0.25">
      <c r="B15" s="66" t="s">
        <v>24</v>
      </c>
      <c r="C15" s="66"/>
      <c r="D15" s="27">
        <f>SUM(D8:D11)</f>
        <v>576</v>
      </c>
    </row>
    <row r="17" spans="2:7" ht="15.75" x14ac:dyDescent="0.25">
      <c r="B17" s="74" t="s">
        <v>35</v>
      </c>
      <c r="C17" s="75"/>
      <c r="D17" s="23">
        <v>576</v>
      </c>
      <c r="G17" s="22" t="s">
        <v>44</v>
      </c>
    </row>
    <row r="18" spans="2:7" ht="15.75" x14ac:dyDescent="0.25">
      <c r="B18" s="74" t="s">
        <v>36</v>
      </c>
      <c r="C18" s="75"/>
      <c r="D18" s="23">
        <v>11</v>
      </c>
    </row>
    <row r="19" spans="2:7" ht="15.75" x14ac:dyDescent="0.25">
      <c r="B19" s="74" t="s">
        <v>41</v>
      </c>
      <c r="C19" s="75"/>
      <c r="D19" s="23">
        <v>13</v>
      </c>
    </row>
    <row r="20" spans="2:7" ht="15.75" x14ac:dyDescent="0.25">
      <c r="B20" s="74" t="s">
        <v>38</v>
      </c>
      <c r="C20" s="75"/>
      <c r="D20" s="23">
        <v>0</v>
      </c>
    </row>
    <row r="21" spans="2:7" ht="15.75" x14ac:dyDescent="0.25">
      <c r="B21" s="74" t="s">
        <v>39</v>
      </c>
      <c r="C21" s="75"/>
      <c r="D21" s="23">
        <v>2</v>
      </c>
      <c r="G21" s="21" t="s">
        <v>26</v>
      </c>
    </row>
    <row r="22" spans="2:7" ht="15.75" x14ac:dyDescent="0.25">
      <c r="B22" s="74" t="s">
        <v>37</v>
      </c>
      <c r="C22" s="75"/>
      <c r="D22" s="28">
        <f>(D17)-D18</f>
        <v>565</v>
      </c>
    </row>
    <row r="25" spans="2:7" ht="15.75" x14ac:dyDescent="0.25">
      <c r="B25" s="20" t="s">
        <v>25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62">
        <v>1</v>
      </c>
      <c r="C27" s="10" t="s">
        <v>5</v>
      </c>
      <c r="D27" s="11">
        <v>11</v>
      </c>
    </row>
    <row r="28" spans="2:7" ht="31.5" x14ac:dyDescent="0.25">
      <c r="B28" s="63">
        <v>2</v>
      </c>
      <c r="C28" s="12" t="s">
        <v>32</v>
      </c>
      <c r="D28" s="11">
        <v>417</v>
      </c>
    </row>
    <row r="29" spans="2:7" ht="15.75" x14ac:dyDescent="0.25">
      <c r="B29" s="62">
        <v>3</v>
      </c>
      <c r="C29" s="13" t="s">
        <v>6</v>
      </c>
      <c r="D29" s="14">
        <v>0</v>
      </c>
    </row>
    <row r="30" spans="2:7" ht="15.75" x14ac:dyDescent="0.25">
      <c r="B30" s="62">
        <v>4</v>
      </c>
      <c r="C30" s="10" t="s">
        <v>7</v>
      </c>
      <c r="D30" s="14">
        <v>18</v>
      </c>
    </row>
    <row r="31" spans="2:7" ht="15.75" x14ac:dyDescent="0.25">
      <c r="B31" s="68" t="s">
        <v>24</v>
      </c>
      <c r="C31" s="69"/>
      <c r="D31" s="63">
        <f>SUM(D27:D30)</f>
        <v>446</v>
      </c>
    </row>
    <row r="35" spans="2:13" x14ac:dyDescent="0.25">
      <c r="G35" s="76" t="s">
        <v>65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27</v>
      </c>
      <c r="C40" s="15"/>
      <c r="D40" s="16"/>
      <c r="G40" s="21" t="s">
        <v>28</v>
      </c>
    </row>
    <row r="41" spans="2:13" ht="15.75" x14ac:dyDescent="0.25">
      <c r="B41" s="67" t="s">
        <v>20</v>
      </c>
      <c r="C41" s="67"/>
      <c r="D41" s="67"/>
    </row>
    <row r="42" spans="2:13" ht="15.75" x14ac:dyDescent="0.25">
      <c r="B42" s="62">
        <v>1</v>
      </c>
      <c r="C42" s="10" t="s">
        <v>10</v>
      </c>
      <c r="D42" s="11">
        <v>15</v>
      </c>
    </row>
    <row r="43" spans="2:13" ht="15.75" x14ac:dyDescent="0.25">
      <c r="B43" s="62">
        <v>2</v>
      </c>
      <c r="C43" s="10" t="s">
        <v>11</v>
      </c>
      <c r="D43" s="11">
        <v>503</v>
      </c>
    </row>
    <row r="44" spans="2:13" ht="15.75" x14ac:dyDescent="0.25">
      <c r="B44" s="62">
        <v>3</v>
      </c>
      <c r="C44" s="10" t="s">
        <v>34</v>
      </c>
      <c r="D44" s="11">
        <v>0</v>
      </c>
    </row>
    <row r="45" spans="2:13" ht="15.75" x14ac:dyDescent="0.25">
      <c r="B45" s="62">
        <v>4</v>
      </c>
      <c r="C45" s="10" t="s">
        <v>33</v>
      </c>
      <c r="D45" s="11">
        <v>58</v>
      </c>
    </row>
    <row r="46" spans="2:13" ht="15.75" x14ac:dyDescent="0.25">
      <c r="B46" s="62">
        <v>5</v>
      </c>
      <c r="C46" s="10" t="s">
        <v>12</v>
      </c>
      <c r="D46" s="11">
        <v>0</v>
      </c>
    </row>
    <row r="47" spans="2:13" ht="15.75" x14ac:dyDescent="0.25">
      <c r="B47" s="66" t="s">
        <v>24</v>
      </c>
      <c r="C47" s="66"/>
      <c r="D47" s="7">
        <f>SUM(D42:D46)</f>
        <v>576</v>
      </c>
    </row>
    <row r="55" spans="2:7" ht="15.75" x14ac:dyDescent="0.25">
      <c r="B55" s="20" t="s">
        <v>29</v>
      </c>
      <c r="G55" s="22" t="s">
        <v>44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15</v>
      </c>
      <c r="D57" s="19">
        <v>3</v>
      </c>
    </row>
    <row r="58" spans="2:7" ht="31.5" x14ac:dyDescent="0.25">
      <c r="B58" s="17">
        <v>2</v>
      </c>
      <c r="C58" s="18" t="s">
        <v>16</v>
      </c>
      <c r="D58" s="19">
        <v>226</v>
      </c>
      <c r="G58" s="21" t="s">
        <v>30</v>
      </c>
    </row>
    <row r="59" spans="2:7" ht="31.5" x14ac:dyDescent="0.25">
      <c r="B59" s="17">
        <v>3</v>
      </c>
      <c r="C59" s="18" t="s">
        <v>17</v>
      </c>
      <c r="D59" s="19">
        <v>217</v>
      </c>
    </row>
    <row r="60" spans="2:7" ht="31.5" x14ac:dyDescent="0.25">
      <c r="B60" s="17">
        <v>4</v>
      </c>
      <c r="C60" s="18" t="s">
        <v>18</v>
      </c>
      <c r="D60" s="19">
        <v>0</v>
      </c>
    </row>
    <row r="61" spans="2:7" ht="31.5" x14ac:dyDescent="0.25">
      <c r="B61" s="17">
        <v>5</v>
      </c>
      <c r="C61" s="18" t="s">
        <v>19</v>
      </c>
      <c r="D61" s="19">
        <v>0</v>
      </c>
    </row>
    <row r="62" spans="2:7" ht="15.75" x14ac:dyDescent="0.25">
      <c r="B62" s="64" t="s">
        <v>24</v>
      </c>
      <c r="C62" s="65"/>
      <c r="D62" s="62">
        <f>SUM(D57:D61)</f>
        <v>446</v>
      </c>
      <c r="G62" s="22" t="s">
        <v>23</v>
      </c>
    </row>
    <row r="66" spans="7:13" x14ac:dyDescent="0.25">
      <c r="G66" s="76" t="s">
        <v>65</v>
      </c>
      <c r="H66" s="76"/>
      <c r="I66" s="76"/>
      <c r="J66" s="76"/>
      <c r="K66" s="76"/>
      <c r="L66" s="76"/>
      <c r="M66" s="76"/>
    </row>
    <row r="67" spans="7:13" x14ac:dyDescent="0.25">
      <c r="G67" s="76"/>
      <c r="H67" s="76"/>
      <c r="I67" s="76"/>
      <c r="J67" s="76"/>
      <c r="K67" s="76"/>
      <c r="L67" s="76"/>
      <c r="M67" s="76"/>
    </row>
  </sheetData>
  <mergeCells count="19">
    <mergeCell ref="B7:D7"/>
    <mergeCell ref="B15:C15"/>
    <mergeCell ref="B26:D26"/>
    <mergeCell ref="B18:C18"/>
    <mergeCell ref="B17:C17"/>
    <mergeCell ref="B19:C19"/>
    <mergeCell ref="B20:C20"/>
    <mergeCell ref="B62:C62"/>
    <mergeCell ref="B56:D56"/>
    <mergeCell ref="B31:C31"/>
    <mergeCell ref="B47:C47"/>
    <mergeCell ref="B41:D41"/>
    <mergeCell ref="G35:M36"/>
    <mergeCell ref="G66:M67"/>
    <mergeCell ref="B1:N1"/>
    <mergeCell ref="B2:N2"/>
    <mergeCell ref="B4:N4"/>
    <mergeCell ref="B22:C22"/>
    <mergeCell ref="B21:C21"/>
  </mergeCells>
  <pageMargins left="0.7" right="0.7" top="0.75" bottom="0.75" header="0.3" footer="0.3"/>
  <pageSetup scale="68" fitToHeight="0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Enero21</vt:lpstr>
      <vt:lpstr>Febrero21</vt:lpstr>
      <vt:lpstr>Marzo21</vt:lpstr>
      <vt:lpstr>Abril21</vt:lpstr>
      <vt:lpstr>Mayo21</vt:lpstr>
      <vt:lpstr>Junio21</vt:lpstr>
      <vt:lpstr>Julio21</vt:lpstr>
      <vt:lpstr>Agosto21</vt:lpstr>
      <vt:lpstr>Septiembre21</vt:lpstr>
      <vt:lpstr>Octubre21</vt:lpstr>
      <vt:lpstr>Noviembre21</vt:lpstr>
      <vt:lpstr>Diciembre21</vt:lpstr>
    </vt:vector>
  </TitlesOfParts>
  <Company>GP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Cano Maldonado Jair Benjamin</cp:lastModifiedBy>
  <dcterms:created xsi:type="dcterms:W3CDTF">2018-02-21T05:25:03Z</dcterms:created>
  <dcterms:modified xsi:type="dcterms:W3CDTF">2022-01-14T19:50:58Z</dcterms:modified>
</cp:coreProperties>
</file>