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12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18915" windowHeight="11190" activeTab="11"/>
  </bookViews>
  <sheets>
    <sheet name="Enero22" sheetId="1" r:id="rId1"/>
    <sheet name="Febrero22" sheetId="2" r:id="rId2"/>
    <sheet name="Marzo22" sheetId="3" r:id="rId3"/>
    <sheet name="Abril22" sheetId="4" r:id="rId4"/>
    <sheet name="Mayo22" sheetId="6" r:id="rId5"/>
    <sheet name="Junio22" sheetId="7" r:id="rId6"/>
    <sheet name="Julio22" sheetId="8" r:id="rId7"/>
    <sheet name="Agosto22" sheetId="9" r:id="rId8"/>
    <sheet name="Septiembre22" sheetId="10" r:id="rId9"/>
    <sheet name="Octubre22" sheetId="11" r:id="rId10"/>
    <sheet name="Noviembre22" sheetId="12" r:id="rId11"/>
    <sheet name="Diciembre22" sheetId="13" r:id="rId12"/>
  </sheets>
  <calcPr calcId="145621"/>
</workbook>
</file>

<file path=xl/calcChain.xml><?xml version="1.0" encoding="utf-8"?>
<calcChain xmlns="http://schemas.openxmlformats.org/spreadsheetml/2006/main">
  <c r="D15" i="13" l="1"/>
  <c r="D22" i="13"/>
  <c r="D31" i="13"/>
  <c r="D47" i="13"/>
  <c r="D62" i="13"/>
  <c r="D15" i="12" l="1"/>
  <c r="D22" i="12"/>
  <c r="D31" i="12"/>
  <c r="D47" i="12"/>
  <c r="D62" i="12"/>
  <c r="D15" i="11" l="1"/>
  <c r="D22" i="11"/>
  <c r="D31" i="11"/>
  <c r="D47" i="11"/>
  <c r="D62" i="11"/>
  <c r="D15" i="10" l="1"/>
  <c r="D22" i="10"/>
  <c r="D31" i="10"/>
  <c r="D47" i="10"/>
  <c r="D62" i="10"/>
  <c r="D15" i="9" l="1"/>
  <c r="D22" i="9"/>
  <c r="D31" i="9"/>
  <c r="D47" i="9"/>
  <c r="D62" i="9"/>
  <c r="D15" i="8" l="1"/>
  <c r="D22" i="8"/>
  <c r="D31" i="8"/>
  <c r="D47" i="8"/>
  <c r="D62" i="8"/>
  <c r="D15" i="7" l="1"/>
  <c r="D22" i="7"/>
  <c r="D31" i="7"/>
  <c r="D47" i="7"/>
  <c r="D62" i="7"/>
  <c r="D15" i="6" l="1"/>
  <c r="D22" i="6"/>
  <c r="D31" i="6"/>
  <c r="D47" i="6"/>
  <c r="D62" i="6"/>
  <c r="D15" i="4" l="1"/>
  <c r="D22" i="4"/>
  <c r="D31" i="4"/>
  <c r="D47" i="4"/>
  <c r="D62" i="4"/>
  <c r="D15" i="3" l="1"/>
  <c r="D22" i="3"/>
  <c r="D31" i="3"/>
  <c r="D47" i="3"/>
  <c r="D62" i="3"/>
  <c r="D15" i="2" l="1"/>
  <c r="D22" i="2"/>
  <c r="D31" i="2"/>
  <c r="D47" i="2"/>
  <c r="D62" i="2"/>
  <c r="D15" i="1" l="1"/>
  <c r="D22" i="1" l="1"/>
  <c r="D62" i="1" l="1"/>
  <c r="D47" i="1" l="1"/>
  <c r="D31" i="1" l="1"/>
</calcChain>
</file>

<file path=xl/sharedStrings.xml><?xml version="1.0" encoding="utf-8"?>
<sst xmlns="http://schemas.openxmlformats.org/spreadsheetml/2006/main" count="612" uniqueCount="68">
  <si>
    <t>DIRECCIÓN DE TRANSPARENCIA Y BUENAS PRÁCTICAS DEL GOBIERNO DE GUADALAJARA</t>
  </si>
  <si>
    <t>Afirmativa</t>
  </si>
  <si>
    <t>Negativa</t>
  </si>
  <si>
    <t>Acuerdos de no competencia</t>
  </si>
  <si>
    <t>Prevenciones</t>
  </si>
  <si>
    <t xml:space="preserve">Fundamental        </t>
  </si>
  <si>
    <t xml:space="preserve">Reservada              </t>
  </si>
  <si>
    <t xml:space="preserve">Confidencial            </t>
  </si>
  <si>
    <t>Tipo de respuesta</t>
  </si>
  <si>
    <t>Tipo de información</t>
  </si>
  <si>
    <t>Personales</t>
  </si>
  <si>
    <t>Electrónicas</t>
  </si>
  <si>
    <t>Estrados</t>
  </si>
  <si>
    <t>Medios de Acceso a la Información</t>
  </si>
  <si>
    <t>Consulta directa personal</t>
  </si>
  <si>
    <t>Consulta directa electrónica</t>
  </si>
  <si>
    <t>Reproducción de documentos</t>
  </si>
  <si>
    <t>Elaboración de informes</t>
  </si>
  <si>
    <t>Combinación de las anteriores</t>
  </si>
  <si>
    <t>Clasificación</t>
  </si>
  <si>
    <t>Tabla número 1.0</t>
  </si>
  <si>
    <t>Gráfica número 1.0</t>
  </si>
  <si>
    <t>Nota: Elaboración propia con datos del control de registro de solicitudes 2018.</t>
  </si>
  <si>
    <t>Total</t>
  </si>
  <si>
    <t>Tabla número 2.0</t>
  </si>
  <si>
    <t>Gráfica número 2.0</t>
  </si>
  <si>
    <t>Tabla número 3.0</t>
  </si>
  <si>
    <t>Gráfica número 3.0</t>
  </si>
  <si>
    <t>Tabla número 4.0</t>
  </si>
  <si>
    <t>Gráfica número 4.0</t>
  </si>
  <si>
    <t>Afirmativa parcial</t>
  </si>
  <si>
    <t>Ordinaria y de libre acceso</t>
  </si>
  <si>
    <t>Correo electrónico</t>
  </si>
  <si>
    <t>Telefónica</t>
  </si>
  <si>
    <t xml:space="preserve">Total de solicitudes </t>
  </si>
  <si>
    <t xml:space="preserve">Acuerdo de no competencia </t>
  </si>
  <si>
    <t xml:space="preserve">Total </t>
  </si>
  <si>
    <t>Canceladas</t>
  </si>
  <si>
    <t>Derecho ARCO</t>
  </si>
  <si>
    <t>Prevenciones (No respondio)</t>
  </si>
  <si>
    <t>Nota: Elaboración propia con datos del control de registro de solicitudes 2021.</t>
  </si>
  <si>
    <t>Nota: Elaboración propia con datos del control de registro de solicitudes 2021. Corresponden a la suma de solicitudes Afirmativa y Afirmativa parcial</t>
  </si>
  <si>
    <t>Solicitudes del mes de ENERO de 2022</t>
  </si>
  <si>
    <t xml:space="preserve">       INFORMACIÓN ESTADÍSTICA - ENERO  2022                                                                                                                         </t>
  </si>
  <si>
    <t>Nota: Elaboración propia con datos del control de registro de solicitudes 2022. Corresponden a la suma de solicitudes Afirmativa y Afirmativa parcial</t>
  </si>
  <si>
    <t>Nota: Elaboración propia con datos del control de registro de solicitudes 2022.</t>
  </si>
  <si>
    <t>Solicitudes del mes de FEBRERO de 2022</t>
  </si>
  <si>
    <t xml:space="preserve">       INFORMACIÓN ESTADÍSTICA - FEBRERO  2022                                                                                                                         </t>
  </si>
  <si>
    <t>Solicitudes del mes de MARZO de 2022</t>
  </si>
  <si>
    <t xml:space="preserve">       INFORMACIÓN ESTADÍSTICA - MARZO 2022                                                                                                                         </t>
  </si>
  <si>
    <t>Solicitudes del mes de ABRIL de 2022</t>
  </si>
  <si>
    <t xml:space="preserve">       INFORMACIÓN ESTADÍSTICA - ABRIL 2022                                                                                                                         </t>
  </si>
  <si>
    <t>Solicitudes del mes de MAYO de 2022</t>
  </si>
  <si>
    <t xml:space="preserve">       INFORMACIÓN ESTADÍSTICA - MAYO 2022                                                                                                                         </t>
  </si>
  <si>
    <t>Solicitudes del mes de JUNIO de 2022</t>
  </si>
  <si>
    <t xml:space="preserve">       INFORMACIÓN ESTADÍSTICA - JUNIO 2022                                                                                                                         </t>
  </si>
  <si>
    <t>Solicitudes del mes de JULIO de 2022</t>
  </si>
  <si>
    <t xml:space="preserve">       INFORMACIÓN ESTADÍSTICA - JULIO 2022                                                                                                                         </t>
  </si>
  <si>
    <t>Solicitudes del mes de AGOSTO de 2022</t>
  </si>
  <si>
    <t xml:space="preserve">       INFORMACIÓN ESTADÍSTICA - AGOSTO 2022                                                                                                                         </t>
  </si>
  <si>
    <t>Solicitudes del mes de SEPTIEMBRE de 2022</t>
  </si>
  <si>
    <t xml:space="preserve">       INFORMACIÓN ESTADÍSTICA - SEPTIEMBRE 2022                                                                                                                         </t>
  </si>
  <si>
    <t>Solicitudes del mes de OCTUBRE de 2022</t>
  </si>
  <si>
    <t xml:space="preserve">       INFORMACIÓN ESTADÍSTICA - OCTUBRE 2022                                                                                                                         </t>
  </si>
  <si>
    <t>Solicitudes del mes de NOVIEMBRE de 2022</t>
  </si>
  <si>
    <t xml:space="preserve">       INFORMACIÓN ESTADÍSTICA - NOVIEMBRE 2022                                                                                                                         </t>
  </si>
  <si>
    <t>Solicitudes del mes de DICIEMBRE de 2022</t>
  </si>
  <si>
    <t xml:space="preserve">       INFORMACIÓN ESTADÍSTICA - DICIEMBRE 2022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</si>
</sst>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1"/>
      <name val="Times New Roman"/>
      <family val="1"/>
    </font>
    <font>
      <sz val="18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0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8" fillId="0" borderId="0" xfId="0" applyFont="1" applyAlignment="1">
      <alignment horizontal="center" wrapText="1"/>
    </xf>
    <xf numFmtId="9" fontId="4" fillId="0" borderId="2" xfId="0" applyNumberFormat="1" applyFont="1" applyBorder="1" applyAlignment="1">
      <alignment horizontal="center"/>
    </xf>
    <xf numFmtId="9" fontId="4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Enero22!$C$8:$C$14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Enero22!$D$8:$D$14</c:f>
              <c:numCache>
                <c:formatCode>General</c:formatCode>
                <c:ptCount val="7"/>
                <c:pt idx="0">
                  <c:v>766</c:v>
                </c:pt>
                <c:pt idx="1">
                  <c:v>647</c:v>
                </c:pt>
                <c:pt idx="2">
                  <c:v>211</c:v>
                </c:pt>
                <c:pt idx="3">
                  <c:v>11</c:v>
                </c:pt>
                <c:pt idx="4">
                  <c:v>62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84626432"/>
        <c:axId val="84633472"/>
      </c:barChart>
      <c:catAx>
        <c:axId val="84626432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84633472"/>
        <c:crosses val="autoZero"/>
        <c:auto val="1"/>
        <c:lblAlgn val="ctr"/>
        <c:lblOffset val="100"/>
        <c:noMultiLvlLbl val="0"/>
      </c:catAx>
      <c:valAx>
        <c:axId val="846334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462643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Enero22!$C$27:$C$30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Enero22!$D$27:$D$30</c:f>
              <c:numCache>
                <c:formatCode>General</c:formatCode>
                <c:ptCount val="4"/>
                <c:pt idx="0">
                  <c:v>29</c:v>
                </c:pt>
                <c:pt idx="1">
                  <c:v>1626</c:v>
                </c:pt>
                <c:pt idx="2">
                  <c:v>1</c:v>
                </c:pt>
                <c:pt idx="3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666240"/>
        <c:axId val="84667776"/>
      </c:barChart>
      <c:catAx>
        <c:axId val="846662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84667776"/>
        <c:crosses val="autoZero"/>
        <c:auto val="1"/>
        <c:lblAlgn val="r"/>
        <c:lblOffset val="100"/>
        <c:noMultiLvlLbl val="0"/>
      </c:catAx>
      <c:valAx>
        <c:axId val="846677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46662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Enero22!$C$42:$C$46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Enero22!$D$42:$D$46</c:f>
              <c:numCache>
                <c:formatCode>General</c:formatCode>
                <c:ptCount val="5"/>
                <c:pt idx="0">
                  <c:v>29</c:v>
                </c:pt>
                <c:pt idx="1">
                  <c:v>1584</c:v>
                </c:pt>
                <c:pt idx="2">
                  <c:v>0</c:v>
                </c:pt>
                <c:pt idx="3">
                  <c:v>84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684160"/>
        <c:axId val="84685952"/>
      </c:barChart>
      <c:catAx>
        <c:axId val="846841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4685952"/>
        <c:crosses val="autoZero"/>
        <c:auto val="1"/>
        <c:lblAlgn val="ctr"/>
        <c:lblOffset val="100"/>
        <c:noMultiLvlLbl val="0"/>
      </c:catAx>
      <c:valAx>
        <c:axId val="846859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468416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Enero22!$C$57:$C$61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Enero22!$D$57:$D$61</c:f>
              <c:numCache>
                <c:formatCode>General</c:formatCode>
                <c:ptCount val="5"/>
                <c:pt idx="0">
                  <c:v>1</c:v>
                </c:pt>
                <c:pt idx="1">
                  <c:v>765</c:v>
                </c:pt>
                <c:pt idx="2">
                  <c:v>920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702336"/>
        <c:axId val="84703872"/>
      </c:barChart>
      <c:catAx>
        <c:axId val="847023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4703872"/>
        <c:crosses val="autoZero"/>
        <c:auto val="1"/>
        <c:lblAlgn val="ctr"/>
        <c:lblOffset val="100"/>
        <c:noMultiLvlLbl val="0"/>
      </c:catAx>
      <c:valAx>
        <c:axId val="847038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47023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Febrero22!$C$8:$C$14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Febrero22!$D$8:$D$14</c:f>
              <c:numCache>
                <c:formatCode>General</c:formatCode>
                <c:ptCount val="7"/>
                <c:pt idx="0">
                  <c:v>670</c:v>
                </c:pt>
                <c:pt idx="1">
                  <c:v>466</c:v>
                </c:pt>
                <c:pt idx="2">
                  <c:v>169</c:v>
                </c:pt>
                <c:pt idx="3">
                  <c:v>14</c:v>
                </c:pt>
                <c:pt idx="4">
                  <c:v>60</c:v>
                </c:pt>
                <c:pt idx="5" formatCode="0">
                  <c:v>0</c:v>
                </c:pt>
                <c:pt idx="6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84715776"/>
        <c:axId val="84731008"/>
      </c:barChart>
      <c:catAx>
        <c:axId val="84715776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84731008"/>
        <c:crosses val="autoZero"/>
        <c:auto val="1"/>
        <c:lblAlgn val="ctr"/>
        <c:lblOffset val="100"/>
        <c:noMultiLvlLbl val="0"/>
      </c:catAx>
      <c:valAx>
        <c:axId val="847310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471577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Febrero22!$C$27:$C$30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Febrero22!$D$27:$D$30</c:f>
              <c:numCache>
                <c:formatCode>General</c:formatCode>
                <c:ptCount val="4"/>
                <c:pt idx="0">
                  <c:v>19</c:v>
                </c:pt>
                <c:pt idx="1">
                  <c:v>1304</c:v>
                </c:pt>
                <c:pt idx="2">
                  <c:v>1</c:v>
                </c:pt>
                <c:pt idx="3">
                  <c:v>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755584"/>
        <c:axId val="84757120"/>
      </c:barChart>
      <c:catAx>
        <c:axId val="847555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84757120"/>
        <c:crosses val="autoZero"/>
        <c:auto val="1"/>
        <c:lblAlgn val="r"/>
        <c:lblOffset val="100"/>
        <c:noMultiLvlLbl val="0"/>
      </c:catAx>
      <c:valAx>
        <c:axId val="8475712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47555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Febrero22!$C$42:$C$46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Febrero22!$D$42:$D$46</c:f>
              <c:numCache>
                <c:formatCode>General</c:formatCode>
                <c:ptCount val="5"/>
                <c:pt idx="0">
                  <c:v>19</c:v>
                </c:pt>
                <c:pt idx="1">
                  <c:v>1264</c:v>
                </c:pt>
                <c:pt idx="2">
                  <c:v>0</c:v>
                </c:pt>
                <c:pt idx="3">
                  <c:v>96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777600"/>
        <c:axId val="84783488"/>
      </c:barChart>
      <c:catAx>
        <c:axId val="847776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4783488"/>
        <c:crosses val="autoZero"/>
        <c:auto val="1"/>
        <c:lblAlgn val="ctr"/>
        <c:lblOffset val="100"/>
        <c:noMultiLvlLbl val="0"/>
      </c:catAx>
      <c:valAx>
        <c:axId val="8478348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477760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Febrero22!$C$57:$C$61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Febrero22!$D$57:$D$61</c:f>
              <c:numCache>
                <c:formatCode>General</c:formatCode>
                <c:ptCount val="5"/>
                <c:pt idx="0">
                  <c:v>1</c:v>
                </c:pt>
                <c:pt idx="1">
                  <c:v>788</c:v>
                </c:pt>
                <c:pt idx="2">
                  <c:v>576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791680"/>
        <c:axId val="84793216"/>
      </c:barChart>
      <c:catAx>
        <c:axId val="84791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4793216"/>
        <c:crosses val="autoZero"/>
        <c:auto val="1"/>
        <c:lblAlgn val="ctr"/>
        <c:lblOffset val="100"/>
        <c:noMultiLvlLbl val="0"/>
      </c:catAx>
      <c:valAx>
        <c:axId val="8479321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47916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Marzo22!$C$8:$C$14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Marzo22!$D$8:$D$14</c:f>
              <c:numCache>
                <c:formatCode>General</c:formatCode>
                <c:ptCount val="7"/>
                <c:pt idx="0">
                  <c:v>641</c:v>
                </c:pt>
                <c:pt idx="1">
                  <c:v>624</c:v>
                </c:pt>
                <c:pt idx="2">
                  <c:v>204</c:v>
                </c:pt>
                <c:pt idx="3">
                  <c:v>16</c:v>
                </c:pt>
                <c:pt idx="4">
                  <c:v>62</c:v>
                </c:pt>
                <c:pt idx="5" formatCode="0">
                  <c:v>0</c:v>
                </c:pt>
                <c:pt idx="6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85825024"/>
        <c:axId val="85840256"/>
      </c:barChart>
      <c:catAx>
        <c:axId val="85825024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85840256"/>
        <c:crosses val="autoZero"/>
        <c:auto val="1"/>
        <c:lblAlgn val="ctr"/>
        <c:lblOffset val="100"/>
        <c:noMultiLvlLbl val="0"/>
      </c:catAx>
      <c:valAx>
        <c:axId val="858402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58250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Marzo22!$C$27:$C$30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Marzo22!$D$27:$D$30</c:f>
              <c:numCache>
                <c:formatCode>General</c:formatCode>
                <c:ptCount val="4"/>
                <c:pt idx="0">
                  <c:v>12</c:v>
                </c:pt>
                <c:pt idx="1">
                  <c:v>1223</c:v>
                </c:pt>
                <c:pt idx="2">
                  <c:v>1</c:v>
                </c:pt>
                <c:pt idx="3">
                  <c:v>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995904"/>
        <c:axId val="85997440"/>
      </c:barChart>
      <c:catAx>
        <c:axId val="859959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85997440"/>
        <c:crosses val="autoZero"/>
        <c:auto val="1"/>
        <c:lblAlgn val="r"/>
        <c:lblOffset val="100"/>
        <c:noMultiLvlLbl val="0"/>
      </c:catAx>
      <c:valAx>
        <c:axId val="859974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59959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Marzo22!$C$42:$C$46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Marzo22!$D$42:$D$46</c:f>
              <c:numCache>
                <c:formatCode>General</c:formatCode>
                <c:ptCount val="5"/>
                <c:pt idx="0">
                  <c:v>39</c:v>
                </c:pt>
                <c:pt idx="1">
                  <c:v>1348</c:v>
                </c:pt>
                <c:pt idx="2">
                  <c:v>0</c:v>
                </c:pt>
                <c:pt idx="3">
                  <c:v>98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528192"/>
        <c:axId val="89529728"/>
      </c:barChart>
      <c:catAx>
        <c:axId val="895281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9529728"/>
        <c:crosses val="autoZero"/>
        <c:auto val="1"/>
        <c:lblAlgn val="ctr"/>
        <c:lblOffset val="100"/>
        <c:noMultiLvlLbl val="0"/>
      </c:catAx>
      <c:valAx>
        <c:axId val="8952972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952819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Marzo22!$C$57:$C$61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Marzo22!$D$57:$D$61</c:f>
              <c:numCache>
                <c:formatCode>General</c:formatCode>
                <c:ptCount val="5"/>
                <c:pt idx="0">
                  <c:v>0</c:v>
                </c:pt>
                <c:pt idx="1">
                  <c:v>630</c:v>
                </c:pt>
                <c:pt idx="2">
                  <c:v>634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550208"/>
        <c:axId val="89576576"/>
      </c:barChart>
      <c:catAx>
        <c:axId val="89550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9576576"/>
        <c:crosses val="autoZero"/>
        <c:auto val="1"/>
        <c:lblAlgn val="ctr"/>
        <c:lblOffset val="100"/>
        <c:noMultiLvlLbl val="0"/>
      </c:catAx>
      <c:valAx>
        <c:axId val="895765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95502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Abril22!$C$8:$C$14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Abril22!$D$8:$D$14</c:f>
              <c:numCache>
                <c:formatCode>General</c:formatCode>
                <c:ptCount val="7"/>
                <c:pt idx="0">
                  <c:v>540</c:v>
                </c:pt>
                <c:pt idx="1">
                  <c:v>550</c:v>
                </c:pt>
                <c:pt idx="2">
                  <c:v>222</c:v>
                </c:pt>
                <c:pt idx="3">
                  <c:v>10</c:v>
                </c:pt>
                <c:pt idx="4">
                  <c:v>72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89658112"/>
        <c:axId val="89660800"/>
      </c:barChart>
      <c:catAx>
        <c:axId val="89658112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89660800"/>
        <c:crosses val="autoZero"/>
        <c:auto val="1"/>
        <c:lblAlgn val="ctr"/>
        <c:lblOffset val="100"/>
        <c:noMultiLvlLbl val="0"/>
      </c:catAx>
      <c:valAx>
        <c:axId val="896608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965811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Abril22!$C$27:$C$30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Abril22!$D$27:$D$30</c:f>
              <c:numCache>
                <c:formatCode>General</c:formatCode>
                <c:ptCount val="4"/>
                <c:pt idx="0">
                  <c:v>12</c:v>
                </c:pt>
                <c:pt idx="1">
                  <c:v>1223</c:v>
                </c:pt>
                <c:pt idx="2">
                  <c:v>1</c:v>
                </c:pt>
                <c:pt idx="3">
                  <c:v>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685376"/>
        <c:axId val="89691264"/>
      </c:barChart>
      <c:catAx>
        <c:axId val="896853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89691264"/>
        <c:crosses val="autoZero"/>
        <c:auto val="1"/>
        <c:lblAlgn val="r"/>
        <c:lblOffset val="100"/>
        <c:noMultiLvlLbl val="0"/>
      </c:catAx>
      <c:valAx>
        <c:axId val="896912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96853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Abril22!$C$42:$C$46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Abril22!$D$42:$D$46</c:f>
              <c:numCache>
                <c:formatCode>General</c:formatCode>
                <c:ptCount val="5"/>
                <c:pt idx="0">
                  <c:v>18</c:v>
                </c:pt>
                <c:pt idx="1">
                  <c:v>1131</c:v>
                </c:pt>
                <c:pt idx="2">
                  <c:v>0</c:v>
                </c:pt>
                <c:pt idx="3">
                  <c:v>173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715840"/>
        <c:axId val="89717376"/>
      </c:barChart>
      <c:catAx>
        <c:axId val="89715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9717376"/>
        <c:crosses val="autoZero"/>
        <c:auto val="1"/>
        <c:lblAlgn val="ctr"/>
        <c:lblOffset val="100"/>
        <c:noMultiLvlLbl val="0"/>
      </c:catAx>
      <c:valAx>
        <c:axId val="897173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971584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Abril22!$C$57:$C$61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Abril22!$D$57:$D$61</c:f>
              <c:numCache>
                <c:formatCode>General</c:formatCode>
                <c:ptCount val="5"/>
                <c:pt idx="0">
                  <c:v>1</c:v>
                </c:pt>
                <c:pt idx="1">
                  <c:v>1088</c:v>
                </c:pt>
                <c:pt idx="2">
                  <c:v>630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750144"/>
        <c:axId val="89751936"/>
      </c:barChart>
      <c:catAx>
        <c:axId val="89750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9751936"/>
        <c:crosses val="autoZero"/>
        <c:auto val="1"/>
        <c:lblAlgn val="ctr"/>
        <c:lblOffset val="100"/>
        <c:noMultiLvlLbl val="0"/>
      </c:catAx>
      <c:valAx>
        <c:axId val="897519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97501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Mayo22!$C$8:$C$14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Mayo22!$D$8:$D$14</c:f>
              <c:numCache>
                <c:formatCode>General</c:formatCode>
                <c:ptCount val="7"/>
                <c:pt idx="0">
                  <c:v>501</c:v>
                </c:pt>
                <c:pt idx="1">
                  <c:v>508</c:v>
                </c:pt>
                <c:pt idx="2">
                  <c:v>189</c:v>
                </c:pt>
                <c:pt idx="3">
                  <c:v>22</c:v>
                </c:pt>
                <c:pt idx="4">
                  <c:v>69</c:v>
                </c:pt>
                <c:pt idx="5" formatCode="0">
                  <c:v>0</c:v>
                </c:pt>
                <c:pt idx="6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90218496"/>
        <c:axId val="90221184"/>
      </c:barChart>
      <c:catAx>
        <c:axId val="90218496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90221184"/>
        <c:crosses val="autoZero"/>
        <c:auto val="1"/>
        <c:lblAlgn val="ctr"/>
        <c:lblOffset val="100"/>
        <c:noMultiLvlLbl val="0"/>
      </c:catAx>
      <c:valAx>
        <c:axId val="90221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021849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Mayo22!$C$27:$C$30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Mayo22!$D$27:$D$30</c:f>
              <c:numCache>
                <c:formatCode>General</c:formatCode>
                <c:ptCount val="4"/>
                <c:pt idx="0">
                  <c:v>1</c:v>
                </c:pt>
                <c:pt idx="1">
                  <c:v>962</c:v>
                </c:pt>
                <c:pt idx="2">
                  <c:v>1</c:v>
                </c:pt>
                <c:pt idx="3">
                  <c:v>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282624"/>
        <c:axId val="90284416"/>
      </c:barChart>
      <c:catAx>
        <c:axId val="902826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90284416"/>
        <c:crosses val="autoZero"/>
        <c:auto val="1"/>
        <c:lblAlgn val="r"/>
        <c:lblOffset val="100"/>
        <c:noMultiLvlLbl val="0"/>
      </c:catAx>
      <c:valAx>
        <c:axId val="9028441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02826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Mayo22!$C$42:$C$46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Mayo22!$D$42:$D$46</c:f>
              <c:numCache>
                <c:formatCode>General</c:formatCode>
                <c:ptCount val="5"/>
                <c:pt idx="0">
                  <c:v>36</c:v>
                </c:pt>
                <c:pt idx="1">
                  <c:v>1128</c:v>
                </c:pt>
                <c:pt idx="2">
                  <c:v>0</c:v>
                </c:pt>
                <c:pt idx="3">
                  <c:v>125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747264"/>
        <c:axId val="90748800"/>
      </c:barChart>
      <c:catAx>
        <c:axId val="907472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0748800"/>
        <c:crosses val="autoZero"/>
        <c:auto val="1"/>
        <c:lblAlgn val="ctr"/>
        <c:lblOffset val="100"/>
        <c:noMultiLvlLbl val="0"/>
      </c:catAx>
      <c:valAx>
        <c:axId val="907488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074726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Mayo22!$C$57:$C$61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Mayo22!$D$57:$D$61</c:f>
              <c:numCache>
                <c:formatCode>General</c:formatCode>
                <c:ptCount val="5"/>
                <c:pt idx="0">
                  <c:v>0</c:v>
                </c:pt>
                <c:pt idx="1">
                  <c:v>514</c:v>
                </c:pt>
                <c:pt idx="2">
                  <c:v>493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896256"/>
        <c:axId val="90897792"/>
      </c:barChart>
      <c:catAx>
        <c:axId val="908962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0897792"/>
        <c:crosses val="autoZero"/>
        <c:auto val="1"/>
        <c:lblAlgn val="ctr"/>
        <c:lblOffset val="100"/>
        <c:noMultiLvlLbl val="0"/>
      </c:catAx>
      <c:valAx>
        <c:axId val="908977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08962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Junio22!$C$8:$C$14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Junio22!$D$8:$D$14</c:f>
              <c:numCache>
                <c:formatCode>General</c:formatCode>
                <c:ptCount val="7"/>
                <c:pt idx="0">
                  <c:v>628</c:v>
                </c:pt>
                <c:pt idx="1">
                  <c:v>624</c:v>
                </c:pt>
                <c:pt idx="2">
                  <c:v>194</c:v>
                </c:pt>
                <c:pt idx="3">
                  <c:v>37</c:v>
                </c:pt>
                <c:pt idx="4">
                  <c:v>37</c:v>
                </c:pt>
                <c:pt idx="5" formatCode="0">
                  <c:v>0</c:v>
                </c:pt>
                <c:pt idx="6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90999808"/>
        <c:axId val="91002752"/>
      </c:barChart>
      <c:catAx>
        <c:axId val="90999808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91002752"/>
        <c:crosses val="autoZero"/>
        <c:auto val="1"/>
        <c:lblAlgn val="ctr"/>
        <c:lblOffset val="100"/>
        <c:noMultiLvlLbl val="0"/>
      </c:catAx>
      <c:valAx>
        <c:axId val="910027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099980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Junio22!$C$27:$C$30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Junio22!$D$27:$D$30</c:f>
              <c:numCache>
                <c:formatCode>General</c:formatCode>
                <c:ptCount val="4"/>
                <c:pt idx="0">
                  <c:v>0</c:v>
                </c:pt>
                <c:pt idx="1">
                  <c:v>1229</c:v>
                </c:pt>
                <c:pt idx="2">
                  <c:v>0</c:v>
                </c:pt>
                <c:pt idx="3">
                  <c:v>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047808"/>
        <c:axId val="91049344"/>
      </c:barChart>
      <c:catAx>
        <c:axId val="910478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91049344"/>
        <c:crosses val="autoZero"/>
        <c:auto val="1"/>
        <c:lblAlgn val="r"/>
        <c:lblOffset val="100"/>
        <c:noMultiLvlLbl val="0"/>
      </c:catAx>
      <c:valAx>
        <c:axId val="910493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10478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Junio22!$C$42:$C$46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Junio22!$D$42:$D$46</c:f>
              <c:numCache>
                <c:formatCode>General</c:formatCode>
                <c:ptCount val="5"/>
                <c:pt idx="0">
                  <c:v>26</c:v>
                </c:pt>
                <c:pt idx="1">
                  <c:v>1392</c:v>
                </c:pt>
                <c:pt idx="2">
                  <c:v>0</c:v>
                </c:pt>
                <c:pt idx="3">
                  <c:v>102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950464"/>
        <c:axId val="91968640"/>
      </c:barChart>
      <c:catAx>
        <c:axId val="91950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1968640"/>
        <c:crosses val="autoZero"/>
        <c:auto val="1"/>
        <c:lblAlgn val="ctr"/>
        <c:lblOffset val="100"/>
        <c:noMultiLvlLbl val="0"/>
      </c:catAx>
      <c:valAx>
        <c:axId val="919686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195046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Junio22!$C$57:$C$61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Junio22!$D$57:$D$61</c:f>
              <c:numCache>
                <c:formatCode>General</c:formatCode>
                <c:ptCount val="5"/>
                <c:pt idx="0">
                  <c:v>0</c:v>
                </c:pt>
                <c:pt idx="1">
                  <c:v>679</c:v>
                </c:pt>
                <c:pt idx="2">
                  <c:v>573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985024"/>
        <c:axId val="91986560"/>
      </c:barChart>
      <c:catAx>
        <c:axId val="91985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1986560"/>
        <c:crosses val="autoZero"/>
        <c:auto val="1"/>
        <c:lblAlgn val="ctr"/>
        <c:lblOffset val="100"/>
        <c:noMultiLvlLbl val="0"/>
      </c:catAx>
      <c:valAx>
        <c:axId val="9198656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19850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Julio22!$C$8:$C$14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Julio22!$D$8:$D$14</c:f>
              <c:numCache>
                <c:formatCode>General</c:formatCode>
                <c:ptCount val="7"/>
                <c:pt idx="0">
                  <c:v>392</c:v>
                </c:pt>
                <c:pt idx="1">
                  <c:v>396</c:v>
                </c:pt>
                <c:pt idx="2">
                  <c:v>125</c:v>
                </c:pt>
                <c:pt idx="3">
                  <c:v>12</c:v>
                </c:pt>
                <c:pt idx="4">
                  <c:v>16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01480704"/>
        <c:axId val="101495936"/>
      </c:barChart>
      <c:catAx>
        <c:axId val="101480704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01495936"/>
        <c:crosses val="autoZero"/>
        <c:auto val="1"/>
        <c:lblAlgn val="ctr"/>
        <c:lblOffset val="100"/>
        <c:noMultiLvlLbl val="0"/>
      </c:catAx>
      <c:valAx>
        <c:axId val="101495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148070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Julio22!$C$27:$C$30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Julio22!$D$27:$D$30</c:f>
              <c:numCache>
                <c:formatCode>General</c:formatCode>
                <c:ptCount val="4"/>
                <c:pt idx="0">
                  <c:v>20</c:v>
                </c:pt>
                <c:pt idx="1">
                  <c:v>743</c:v>
                </c:pt>
                <c:pt idx="2">
                  <c:v>2</c:v>
                </c:pt>
                <c:pt idx="3">
                  <c:v>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106240"/>
        <c:axId val="102107776"/>
      </c:barChart>
      <c:catAx>
        <c:axId val="1021062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02107776"/>
        <c:crosses val="autoZero"/>
        <c:auto val="1"/>
        <c:lblAlgn val="r"/>
        <c:lblOffset val="100"/>
        <c:noMultiLvlLbl val="0"/>
      </c:catAx>
      <c:valAx>
        <c:axId val="1021077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21062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Julio22!$C$42:$C$46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Julio22!$D$42:$D$46</c:f>
              <c:numCache>
                <c:formatCode>General</c:formatCode>
                <c:ptCount val="5"/>
                <c:pt idx="0">
                  <c:v>35</c:v>
                </c:pt>
                <c:pt idx="1">
                  <c:v>828</c:v>
                </c:pt>
                <c:pt idx="2">
                  <c:v>0</c:v>
                </c:pt>
                <c:pt idx="3">
                  <c:v>78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128256"/>
        <c:axId val="102134144"/>
      </c:barChart>
      <c:catAx>
        <c:axId val="1021282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02134144"/>
        <c:crosses val="autoZero"/>
        <c:auto val="1"/>
        <c:lblAlgn val="ctr"/>
        <c:lblOffset val="100"/>
        <c:noMultiLvlLbl val="0"/>
      </c:catAx>
      <c:valAx>
        <c:axId val="1021341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212825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Julio22!$C$57:$C$61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Julio22!$D$57:$D$61</c:f>
              <c:numCache>
                <c:formatCode>General</c:formatCode>
                <c:ptCount val="5"/>
                <c:pt idx="0">
                  <c:v>19</c:v>
                </c:pt>
                <c:pt idx="1">
                  <c:v>769</c:v>
                </c:pt>
                <c:pt idx="2">
                  <c:v>376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150528"/>
        <c:axId val="102152064"/>
      </c:barChart>
      <c:catAx>
        <c:axId val="1021505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02152064"/>
        <c:crosses val="autoZero"/>
        <c:auto val="1"/>
        <c:lblAlgn val="ctr"/>
        <c:lblOffset val="100"/>
        <c:noMultiLvlLbl val="0"/>
      </c:catAx>
      <c:valAx>
        <c:axId val="1021520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21505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Agosto22!$C$8:$C$14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Agosto22!$D$8:$D$14</c:f>
              <c:numCache>
                <c:formatCode>General</c:formatCode>
                <c:ptCount val="7"/>
                <c:pt idx="0">
                  <c:v>568</c:v>
                </c:pt>
                <c:pt idx="1">
                  <c:v>614</c:v>
                </c:pt>
                <c:pt idx="2">
                  <c:v>173</c:v>
                </c:pt>
                <c:pt idx="3">
                  <c:v>12</c:v>
                </c:pt>
                <c:pt idx="4">
                  <c:v>65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56349952"/>
        <c:axId val="156361088"/>
      </c:barChart>
      <c:catAx>
        <c:axId val="156349952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56361088"/>
        <c:crosses val="autoZero"/>
        <c:auto val="1"/>
        <c:lblAlgn val="ctr"/>
        <c:lblOffset val="100"/>
        <c:noMultiLvlLbl val="0"/>
      </c:catAx>
      <c:valAx>
        <c:axId val="1563610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63499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Agosto22!$C$27:$C$30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Agosto22!$D$27:$D$30</c:f>
              <c:numCache>
                <c:formatCode>General</c:formatCode>
                <c:ptCount val="4"/>
                <c:pt idx="0">
                  <c:v>31</c:v>
                </c:pt>
                <c:pt idx="1">
                  <c:v>1065</c:v>
                </c:pt>
                <c:pt idx="2">
                  <c:v>1</c:v>
                </c:pt>
                <c:pt idx="3">
                  <c:v>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73792"/>
        <c:axId val="157075328"/>
      </c:barChart>
      <c:catAx>
        <c:axId val="157073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57075328"/>
        <c:crosses val="autoZero"/>
        <c:auto val="1"/>
        <c:lblAlgn val="r"/>
        <c:lblOffset val="100"/>
        <c:noMultiLvlLbl val="0"/>
      </c:catAx>
      <c:valAx>
        <c:axId val="15707532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570737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Agosto22!$C$42:$C$46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Agosto22!$D$42:$D$46</c:f>
              <c:numCache>
                <c:formatCode>General</c:formatCode>
                <c:ptCount val="5"/>
                <c:pt idx="0">
                  <c:v>37</c:v>
                </c:pt>
                <c:pt idx="1">
                  <c:v>1298</c:v>
                </c:pt>
                <c:pt idx="2">
                  <c:v>0</c:v>
                </c:pt>
                <c:pt idx="3">
                  <c:v>97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648832"/>
        <c:axId val="164650368"/>
      </c:barChart>
      <c:catAx>
        <c:axId val="1646488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4650368"/>
        <c:crosses val="autoZero"/>
        <c:auto val="1"/>
        <c:lblAlgn val="ctr"/>
        <c:lblOffset val="100"/>
        <c:noMultiLvlLbl val="0"/>
      </c:catAx>
      <c:valAx>
        <c:axId val="1646503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464883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Agosto22!$C$57:$C$61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Agosto22!$D$57:$D$61</c:f>
              <c:numCache>
                <c:formatCode>General</c:formatCode>
                <c:ptCount val="5"/>
                <c:pt idx="0">
                  <c:v>17</c:v>
                </c:pt>
                <c:pt idx="1">
                  <c:v>1150</c:v>
                </c:pt>
                <c:pt idx="2">
                  <c:v>627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674944"/>
        <c:axId val="164676736"/>
      </c:barChart>
      <c:catAx>
        <c:axId val="1646749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4676736"/>
        <c:crosses val="autoZero"/>
        <c:auto val="1"/>
        <c:lblAlgn val="ctr"/>
        <c:lblOffset val="100"/>
        <c:noMultiLvlLbl val="0"/>
      </c:catAx>
      <c:valAx>
        <c:axId val="1646767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46749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Septiembre22!$C$8:$C$14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Septiembre22!$D$8:$D$14</c:f>
              <c:numCache>
                <c:formatCode>General</c:formatCode>
                <c:ptCount val="7"/>
                <c:pt idx="0">
                  <c:v>425</c:v>
                </c:pt>
                <c:pt idx="1">
                  <c:v>524</c:v>
                </c:pt>
                <c:pt idx="2">
                  <c:v>163</c:v>
                </c:pt>
                <c:pt idx="3">
                  <c:v>19</c:v>
                </c:pt>
                <c:pt idx="4">
                  <c:v>35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64725504"/>
        <c:axId val="164728192"/>
      </c:barChart>
      <c:catAx>
        <c:axId val="164725504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64728192"/>
        <c:crosses val="autoZero"/>
        <c:auto val="1"/>
        <c:lblAlgn val="ctr"/>
        <c:lblOffset val="100"/>
        <c:noMultiLvlLbl val="0"/>
      </c:catAx>
      <c:valAx>
        <c:axId val="1647281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472550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Septiembre22!$C$27:$C$30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Septiembre22!$D$27:$D$30</c:f>
              <c:numCache>
                <c:formatCode>General</c:formatCode>
                <c:ptCount val="4"/>
                <c:pt idx="0">
                  <c:v>44</c:v>
                </c:pt>
                <c:pt idx="1">
                  <c:v>830</c:v>
                </c:pt>
                <c:pt idx="2">
                  <c:v>1</c:v>
                </c:pt>
                <c:pt idx="3">
                  <c:v>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887936"/>
        <c:axId val="164897920"/>
      </c:barChart>
      <c:catAx>
        <c:axId val="164887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64897920"/>
        <c:crosses val="autoZero"/>
        <c:auto val="1"/>
        <c:lblAlgn val="r"/>
        <c:lblOffset val="100"/>
        <c:noMultiLvlLbl val="0"/>
      </c:catAx>
      <c:valAx>
        <c:axId val="16489792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48879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Septiembre22!$C$42:$C$46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Septiembre22!$D$42:$D$46</c:f>
              <c:numCache>
                <c:formatCode>General</c:formatCode>
                <c:ptCount val="5"/>
                <c:pt idx="0">
                  <c:v>30</c:v>
                </c:pt>
                <c:pt idx="1">
                  <c:v>1002</c:v>
                </c:pt>
                <c:pt idx="2">
                  <c:v>0</c:v>
                </c:pt>
                <c:pt idx="3">
                  <c:v>99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934784"/>
        <c:axId val="164936320"/>
      </c:barChart>
      <c:catAx>
        <c:axId val="1649347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4936320"/>
        <c:crosses val="autoZero"/>
        <c:auto val="1"/>
        <c:lblAlgn val="ctr"/>
        <c:lblOffset val="100"/>
        <c:noMultiLvlLbl val="0"/>
      </c:catAx>
      <c:valAx>
        <c:axId val="16493632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493478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Septiembre22!$C$57:$C$61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Septiembre22!$D$57:$D$61</c:f>
              <c:numCache>
                <c:formatCode>General</c:formatCode>
                <c:ptCount val="5"/>
                <c:pt idx="0">
                  <c:v>12</c:v>
                </c:pt>
                <c:pt idx="1">
                  <c:v>936</c:v>
                </c:pt>
                <c:pt idx="2">
                  <c:v>497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964992"/>
        <c:axId val="164974976"/>
      </c:barChart>
      <c:catAx>
        <c:axId val="1649649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4974976"/>
        <c:crosses val="autoZero"/>
        <c:auto val="1"/>
        <c:lblAlgn val="ctr"/>
        <c:lblOffset val="100"/>
        <c:noMultiLvlLbl val="0"/>
      </c:catAx>
      <c:valAx>
        <c:axId val="1649749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49649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Octubre22!$C$8:$C$14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Octubre22!$D$8:$D$14</c:f>
              <c:numCache>
                <c:formatCode>General</c:formatCode>
                <c:ptCount val="7"/>
                <c:pt idx="0">
                  <c:v>438</c:v>
                </c:pt>
                <c:pt idx="1">
                  <c:v>552</c:v>
                </c:pt>
                <c:pt idx="2">
                  <c:v>164</c:v>
                </c:pt>
                <c:pt idx="3">
                  <c:v>14</c:v>
                </c:pt>
                <c:pt idx="4">
                  <c:v>31</c:v>
                </c:pt>
                <c:pt idx="5" formatCode="0">
                  <c:v>1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65953536"/>
        <c:axId val="165956224"/>
      </c:barChart>
      <c:catAx>
        <c:axId val="165953536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65956224"/>
        <c:crosses val="autoZero"/>
        <c:auto val="1"/>
        <c:lblAlgn val="ctr"/>
        <c:lblOffset val="100"/>
        <c:noMultiLvlLbl val="0"/>
      </c:catAx>
      <c:valAx>
        <c:axId val="1659562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59535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Octubre22!$C$27:$C$30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Octubre22!$D$27:$D$30</c:f>
              <c:numCache>
                <c:formatCode>General</c:formatCode>
                <c:ptCount val="4"/>
                <c:pt idx="0">
                  <c:v>48</c:v>
                </c:pt>
                <c:pt idx="1">
                  <c:v>896</c:v>
                </c:pt>
                <c:pt idx="2">
                  <c:v>1</c:v>
                </c:pt>
                <c:pt idx="3">
                  <c:v>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972608"/>
        <c:axId val="165982592"/>
      </c:barChart>
      <c:catAx>
        <c:axId val="1659726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65982592"/>
        <c:crosses val="autoZero"/>
        <c:auto val="1"/>
        <c:lblAlgn val="r"/>
        <c:lblOffset val="100"/>
        <c:noMultiLvlLbl val="0"/>
      </c:catAx>
      <c:valAx>
        <c:axId val="1659825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59726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Octubre22!$C$42:$C$46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Octubre22!$D$42:$D$46</c:f>
              <c:numCache>
                <c:formatCode>General</c:formatCode>
                <c:ptCount val="5"/>
                <c:pt idx="0">
                  <c:v>21</c:v>
                </c:pt>
                <c:pt idx="1">
                  <c:v>1058</c:v>
                </c:pt>
                <c:pt idx="2">
                  <c:v>0</c:v>
                </c:pt>
                <c:pt idx="3">
                  <c:v>121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015360"/>
        <c:axId val="166016896"/>
      </c:barChart>
      <c:catAx>
        <c:axId val="166015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6016896"/>
        <c:crosses val="autoZero"/>
        <c:auto val="1"/>
        <c:lblAlgn val="ctr"/>
        <c:lblOffset val="100"/>
        <c:noMultiLvlLbl val="0"/>
      </c:catAx>
      <c:valAx>
        <c:axId val="1660168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601536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Octubre22!$C$57:$C$61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Octubre22!$D$57:$D$61</c:f>
              <c:numCache>
                <c:formatCode>General</c:formatCode>
                <c:ptCount val="5"/>
                <c:pt idx="0">
                  <c:v>10</c:v>
                </c:pt>
                <c:pt idx="1">
                  <c:v>961</c:v>
                </c:pt>
                <c:pt idx="2">
                  <c:v>469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037376"/>
        <c:axId val="166038912"/>
      </c:barChart>
      <c:catAx>
        <c:axId val="1660373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6038912"/>
        <c:crosses val="autoZero"/>
        <c:auto val="1"/>
        <c:lblAlgn val="ctr"/>
        <c:lblOffset val="100"/>
        <c:noMultiLvlLbl val="0"/>
      </c:catAx>
      <c:valAx>
        <c:axId val="1660389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60373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Noviembre22!$C$8:$C$14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Noviembre22!$D$8:$D$14</c:f>
              <c:numCache>
                <c:formatCode>General</c:formatCode>
                <c:ptCount val="7"/>
                <c:pt idx="0">
                  <c:v>460</c:v>
                </c:pt>
                <c:pt idx="1">
                  <c:v>526</c:v>
                </c:pt>
                <c:pt idx="2">
                  <c:v>179</c:v>
                </c:pt>
                <c:pt idx="3">
                  <c:v>11</c:v>
                </c:pt>
                <c:pt idx="4">
                  <c:v>31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66116352"/>
        <c:axId val="166119296"/>
      </c:barChart>
      <c:catAx>
        <c:axId val="166116352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66119296"/>
        <c:crosses val="autoZero"/>
        <c:auto val="1"/>
        <c:lblAlgn val="ctr"/>
        <c:lblOffset val="100"/>
        <c:noMultiLvlLbl val="0"/>
      </c:catAx>
      <c:valAx>
        <c:axId val="1661192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61163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Noviembre22!$C$27:$C$30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Noviembre22!$D$27:$D$30</c:f>
              <c:numCache>
                <c:formatCode>General</c:formatCode>
                <c:ptCount val="4"/>
                <c:pt idx="0">
                  <c:v>54</c:v>
                </c:pt>
                <c:pt idx="1">
                  <c:v>880</c:v>
                </c:pt>
                <c:pt idx="2">
                  <c:v>2</c:v>
                </c:pt>
                <c:pt idx="3">
                  <c:v>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758912"/>
        <c:axId val="172760448"/>
      </c:barChart>
      <c:catAx>
        <c:axId val="1727589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72760448"/>
        <c:crosses val="autoZero"/>
        <c:auto val="1"/>
        <c:lblAlgn val="r"/>
        <c:lblOffset val="100"/>
        <c:noMultiLvlLbl val="0"/>
      </c:catAx>
      <c:valAx>
        <c:axId val="1727604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27589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Noviembre22!$C$42:$C$46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Noviembre22!$D$42:$D$46</c:f>
              <c:numCache>
                <c:formatCode>General</c:formatCode>
                <c:ptCount val="5"/>
                <c:pt idx="0">
                  <c:v>24</c:v>
                </c:pt>
                <c:pt idx="1">
                  <c:v>1071</c:v>
                </c:pt>
                <c:pt idx="2">
                  <c:v>0</c:v>
                </c:pt>
                <c:pt idx="3">
                  <c:v>112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768640"/>
        <c:axId val="172786816"/>
      </c:barChart>
      <c:catAx>
        <c:axId val="172768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2786816"/>
        <c:crosses val="autoZero"/>
        <c:auto val="1"/>
        <c:lblAlgn val="ctr"/>
        <c:lblOffset val="100"/>
        <c:noMultiLvlLbl val="0"/>
      </c:catAx>
      <c:valAx>
        <c:axId val="17278681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276864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Noviembre22!$C$57:$C$61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Noviembre22!$D$57:$D$61</c:f>
              <c:numCache>
                <c:formatCode>General</c:formatCode>
                <c:ptCount val="5"/>
                <c:pt idx="0">
                  <c:v>9</c:v>
                </c:pt>
                <c:pt idx="1">
                  <c:v>987</c:v>
                </c:pt>
                <c:pt idx="2">
                  <c:v>496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799104"/>
        <c:axId val="172800640"/>
      </c:barChart>
      <c:catAx>
        <c:axId val="172799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2800640"/>
        <c:crosses val="autoZero"/>
        <c:auto val="1"/>
        <c:lblAlgn val="ctr"/>
        <c:lblOffset val="100"/>
        <c:noMultiLvlLbl val="0"/>
      </c:catAx>
      <c:valAx>
        <c:axId val="1728006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279910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Diciembre22!$C$8:$C$14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Diciembre22!$D$8:$D$14</c:f>
              <c:numCache>
                <c:formatCode>General</c:formatCode>
                <c:ptCount val="7"/>
                <c:pt idx="0">
                  <c:v>227</c:v>
                </c:pt>
                <c:pt idx="1">
                  <c:v>238</c:v>
                </c:pt>
                <c:pt idx="2">
                  <c:v>75</c:v>
                </c:pt>
                <c:pt idx="3">
                  <c:v>3</c:v>
                </c:pt>
                <c:pt idx="4">
                  <c:v>18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72841216"/>
        <c:axId val="172856448"/>
      </c:barChart>
      <c:catAx>
        <c:axId val="172841216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72856448"/>
        <c:crosses val="autoZero"/>
        <c:auto val="1"/>
        <c:lblAlgn val="ctr"/>
        <c:lblOffset val="100"/>
        <c:noMultiLvlLbl val="0"/>
      </c:catAx>
      <c:valAx>
        <c:axId val="1728564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284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Diciembre22!$C$27:$C$30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Diciembre22!$D$27:$D$30</c:f>
              <c:numCache>
                <c:formatCode>General</c:formatCode>
                <c:ptCount val="4"/>
                <c:pt idx="0">
                  <c:v>29</c:v>
                </c:pt>
                <c:pt idx="1">
                  <c:v>414</c:v>
                </c:pt>
                <c:pt idx="2">
                  <c:v>1</c:v>
                </c:pt>
                <c:pt idx="3">
                  <c:v>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881024"/>
        <c:axId val="172882560"/>
      </c:barChart>
      <c:catAx>
        <c:axId val="172881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72882560"/>
        <c:crosses val="autoZero"/>
        <c:auto val="1"/>
        <c:lblAlgn val="r"/>
        <c:lblOffset val="100"/>
        <c:noMultiLvlLbl val="0"/>
      </c:catAx>
      <c:valAx>
        <c:axId val="17288256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28810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Diciembre22!$C$42:$C$46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Diciembre22!$D$42:$D$46</c:f>
              <c:numCache>
                <c:formatCode>General</c:formatCode>
                <c:ptCount val="5"/>
                <c:pt idx="0">
                  <c:v>12</c:v>
                </c:pt>
                <c:pt idx="1">
                  <c:v>500</c:v>
                </c:pt>
                <c:pt idx="2">
                  <c:v>0</c:v>
                </c:pt>
                <c:pt idx="3">
                  <c:v>31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033536"/>
        <c:axId val="174035328"/>
      </c:barChart>
      <c:catAx>
        <c:axId val="1740335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4035328"/>
        <c:crosses val="autoZero"/>
        <c:auto val="1"/>
        <c:lblAlgn val="ctr"/>
        <c:lblOffset val="100"/>
        <c:noMultiLvlLbl val="0"/>
      </c:catAx>
      <c:valAx>
        <c:axId val="17403532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403353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Diciembre22!$C$57:$C$61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Diciembre22!$D$57:$D$61</c:f>
              <c:numCache>
                <c:formatCode>General</c:formatCode>
                <c:ptCount val="5"/>
                <c:pt idx="0">
                  <c:v>1</c:v>
                </c:pt>
                <c:pt idx="1">
                  <c:v>464</c:v>
                </c:pt>
                <c:pt idx="2">
                  <c:v>284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088576"/>
        <c:axId val="174090112"/>
      </c:barChart>
      <c:catAx>
        <c:axId val="1740885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4090112"/>
        <c:crosses val="autoZero"/>
        <c:auto val="1"/>
        <c:lblAlgn val="ctr"/>
        <c:lblOffset val="100"/>
        <c:noMultiLvlLbl val="0"/>
      </c:catAx>
      <c:valAx>
        <c:axId val="1740901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40885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image" Target="../media/image2.png"/><Relationship Id="rId2" Type="http://schemas.microsoft.com/office/2007/relationships/hdphoto" Target="NULL"/><Relationship Id="rId1" Type="http://schemas.openxmlformats.org/officeDocument/2006/relationships/image" Target="../media/image1.png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image" Target="../media/image2.png"/><Relationship Id="rId2" Type="http://schemas.microsoft.com/office/2007/relationships/hdphoto" Target="NULL"/><Relationship Id="rId1" Type="http://schemas.openxmlformats.org/officeDocument/2006/relationships/image" Target="../media/image1.png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microsoft.com/office/2007/relationships/hdphoto" Target="NULL"/><Relationship Id="rId1" Type="http://schemas.openxmlformats.org/officeDocument/2006/relationships/image" Target="../media/image1.png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microsoft.com/office/2007/relationships/hdphoto" Target="NULL"/><Relationship Id="rId1" Type="http://schemas.openxmlformats.org/officeDocument/2006/relationships/image" Target="../media/image1.png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microsoft.com/office/2007/relationships/hdphoto" Target="NULL"/><Relationship Id="rId1" Type="http://schemas.openxmlformats.org/officeDocument/2006/relationships/image" Target="../media/image1.png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microsoft.com/office/2007/relationships/hdphoto" Target="NULL"/><Relationship Id="rId1" Type="http://schemas.openxmlformats.org/officeDocument/2006/relationships/image" Target="../media/image1.png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microsoft.com/office/2007/relationships/hdphoto" Target="NULL"/><Relationship Id="rId1" Type="http://schemas.openxmlformats.org/officeDocument/2006/relationships/image" Target="../media/image1.png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microsoft.com/office/2007/relationships/hdphoto" Target="NULL"/><Relationship Id="rId1" Type="http://schemas.openxmlformats.org/officeDocument/2006/relationships/image" Target="../media/image1.png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microsoft.com/office/2007/relationships/hdphoto" Target="NULL"/><Relationship Id="rId1" Type="http://schemas.openxmlformats.org/officeDocument/2006/relationships/image" Target="../media/image1.png"/><Relationship Id="rId6" Type="http://schemas.openxmlformats.org/officeDocument/2006/relationships/chart" Target="../charts/chart40.xml"/><Relationship Id="rId5" Type="http://schemas.openxmlformats.org/officeDocument/2006/relationships/chart" Target="../charts/chart39.xml"/><Relationship Id="rId4" Type="http://schemas.openxmlformats.org/officeDocument/2006/relationships/chart" Target="../charts/chart3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microsoft.com/office/2007/relationships/hdphoto" Target="NULL"/><Relationship Id="rId1" Type="http://schemas.openxmlformats.org/officeDocument/2006/relationships/image" Target="../media/image1.png"/><Relationship Id="rId6" Type="http://schemas.openxmlformats.org/officeDocument/2006/relationships/chart" Target="../charts/chart44.xml"/><Relationship Id="rId5" Type="http://schemas.openxmlformats.org/officeDocument/2006/relationships/chart" Target="../charts/chart43.xml"/><Relationship Id="rId4" Type="http://schemas.openxmlformats.org/officeDocument/2006/relationships/chart" Target="../charts/chart42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microsoft.com/office/2007/relationships/hdphoto" Target="NULL"/><Relationship Id="rId1" Type="http://schemas.openxmlformats.org/officeDocument/2006/relationships/image" Target="../media/image1.png"/><Relationship Id="rId6" Type="http://schemas.openxmlformats.org/officeDocument/2006/relationships/chart" Target="../charts/chart48.xml"/><Relationship Id="rId5" Type="http://schemas.openxmlformats.org/officeDocument/2006/relationships/chart" Target="../charts/chart47.xml"/><Relationship Id="rId4" Type="http://schemas.openxmlformats.org/officeDocument/2006/relationships/chart" Target="../charts/chart4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361950</xdr:rowOff>
    </xdr:from>
    <xdr:to>
      <xdr:col>3</xdr:col>
      <xdr:colOff>542925</xdr:colOff>
      <xdr:row>0</xdr:row>
      <xdr:rowOff>1238250</xdr:rowOff>
    </xdr:to>
    <xdr:pic>
      <xdr:nvPicPr>
        <xdr:cNvPr id="8" name="Imagen 7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88" t="21477" r="58837" b="13423"/>
        <a:stretch/>
      </xdr:blipFill>
      <xdr:spPr bwMode="auto">
        <a:xfrm>
          <a:off x="781050" y="361950"/>
          <a:ext cx="2428875" cy="8763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4" name="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5" name="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6" name="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64</xdr:row>
      <xdr:rowOff>195262</xdr:rowOff>
    </xdr:to>
    <xdr:graphicFrame macro="">
      <xdr:nvGraphicFramePr>
        <xdr:cNvPr id="7" name="6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10" name="Rectángulo 9"/>
        <xdr:cNvSpPr/>
      </xdr:nvSpPr>
      <xdr:spPr>
        <a:xfrm>
          <a:off x="1676400" y="800100"/>
          <a:ext cx="781050" cy="1333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11</xdr:col>
      <xdr:colOff>590551</xdr:colOff>
      <xdr:row>0</xdr:row>
      <xdr:rowOff>0</xdr:rowOff>
    </xdr:from>
    <xdr:to>
      <xdr:col>13</xdr:col>
      <xdr:colOff>413777</xdr:colOff>
      <xdr:row>1</xdr:row>
      <xdr:rowOff>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82126" y="0"/>
          <a:ext cx="1347226" cy="1695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361950</xdr:rowOff>
    </xdr:from>
    <xdr:ext cx="2428875" cy="876300"/>
    <xdr:pic>
      <xdr:nvPicPr>
        <xdr:cNvPr id="2" name="Imagen 7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88" t="21477" r="58837" b="13423"/>
        <a:stretch/>
      </xdr:blipFill>
      <xdr:spPr bwMode="auto">
        <a:xfrm>
          <a:off x="781050" y="190500"/>
          <a:ext cx="2428875" cy="8763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64</xdr:row>
      <xdr:rowOff>195262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8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11</xdr:col>
      <xdr:colOff>390525</xdr:colOff>
      <xdr:row>0</xdr:row>
      <xdr:rowOff>0</xdr:rowOff>
    </xdr:from>
    <xdr:to>
      <xdr:col>13</xdr:col>
      <xdr:colOff>213751</xdr:colOff>
      <xdr:row>1</xdr:row>
      <xdr:rowOff>0</xdr:rowOff>
    </xdr:to>
    <xdr:pic>
      <xdr:nvPicPr>
        <xdr:cNvPr id="9" name="8 Imagen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2100" y="0"/>
          <a:ext cx="1347226" cy="1695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361950</xdr:rowOff>
    </xdr:from>
    <xdr:ext cx="2428875" cy="876300"/>
    <xdr:pic>
      <xdr:nvPicPr>
        <xdr:cNvPr id="2" name="Imagen 7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88" t="21477" r="58837" b="13423"/>
        <a:stretch/>
      </xdr:blipFill>
      <xdr:spPr bwMode="auto">
        <a:xfrm>
          <a:off x="781050" y="190500"/>
          <a:ext cx="2428875" cy="8763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64</xdr:row>
      <xdr:rowOff>195262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8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11</xdr:col>
      <xdr:colOff>466725</xdr:colOff>
      <xdr:row>0</xdr:row>
      <xdr:rowOff>0</xdr:rowOff>
    </xdr:from>
    <xdr:to>
      <xdr:col>13</xdr:col>
      <xdr:colOff>289951</xdr:colOff>
      <xdr:row>1</xdr:row>
      <xdr:rowOff>0</xdr:rowOff>
    </xdr:to>
    <xdr:pic>
      <xdr:nvPicPr>
        <xdr:cNvPr id="9" name="8 Imagen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58300" y="0"/>
          <a:ext cx="1347226" cy="1695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361950</xdr:rowOff>
    </xdr:from>
    <xdr:ext cx="2428875" cy="876300"/>
    <xdr:pic>
      <xdr:nvPicPr>
        <xdr:cNvPr id="2" name="Imagen 7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88" t="21477" r="58837" b="13423"/>
        <a:stretch/>
      </xdr:blipFill>
      <xdr:spPr bwMode="auto">
        <a:xfrm>
          <a:off x="781050" y="190500"/>
          <a:ext cx="2428875" cy="8763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64</xdr:row>
      <xdr:rowOff>195262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11</xdr:col>
      <xdr:colOff>552450</xdr:colOff>
      <xdr:row>0</xdr:row>
      <xdr:rowOff>66676</xdr:rowOff>
    </xdr:from>
    <xdr:ext cx="1057275" cy="1276350"/>
    <xdr:pic>
      <xdr:nvPicPr>
        <xdr:cNvPr id="7" name="Imagen 8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256" t="4028" r="8327" b="1342"/>
        <a:stretch/>
      </xdr:blipFill>
      <xdr:spPr bwMode="auto">
        <a:xfrm>
          <a:off x="8934450" y="66676"/>
          <a:ext cx="1057275" cy="12763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8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361950</xdr:rowOff>
    </xdr:from>
    <xdr:ext cx="2428875" cy="876300"/>
    <xdr:pic>
      <xdr:nvPicPr>
        <xdr:cNvPr id="2" name="Imagen 7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88" t="21477" r="58837" b="13423"/>
        <a:stretch/>
      </xdr:blipFill>
      <xdr:spPr bwMode="auto">
        <a:xfrm>
          <a:off x="781050" y="190500"/>
          <a:ext cx="2428875" cy="8763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64</xdr:row>
      <xdr:rowOff>195262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11</xdr:col>
      <xdr:colOff>552450</xdr:colOff>
      <xdr:row>0</xdr:row>
      <xdr:rowOff>66676</xdr:rowOff>
    </xdr:from>
    <xdr:ext cx="1057275" cy="1276350"/>
    <xdr:pic>
      <xdr:nvPicPr>
        <xdr:cNvPr id="7" name="Imagen 8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256" t="4028" r="8327" b="1342"/>
        <a:stretch/>
      </xdr:blipFill>
      <xdr:spPr bwMode="auto">
        <a:xfrm>
          <a:off x="8934450" y="66676"/>
          <a:ext cx="1057275" cy="12763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8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361950</xdr:rowOff>
    </xdr:from>
    <xdr:ext cx="2428875" cy="876300"/>
    <xdr:pic>
      <xdr:nvPicPr>
        <xdr:cNvPr id="2" name="Imagen 7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88" t="21477" r="58837" b="13423"/>
        <a:stretch/>
      </xdr:blipFill>
      <xdr:spPr bwMode="auto">
        <a:xfrm>
          <a:off x="781050" y="190500"/>
          <a:ext cx="2428875" cy="8763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64</xdr:row>
      <xdr:rowOff>195262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11</xdr:col>
      <xdr:colOff>552450</xdr:colOff>
      <xdr:row>0</xdr:row>
      <xdr:rowOff>66676</xdr:rowOff>
    </xdr:from>
    <xdr:ext cx="1057275" cy="1276350"/>
    <xdr:pic>
      <xdr:nvPicPr>
        <xdr:cNvPr id="7" name="Imagen 8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256" t="4028" r="8327" b="1342"/>
        <a:stretch/>
      </xdr:blipFill>
      <xdr:spPr bwMode="auto">
        <a:xfrm>
          <a:off x="8934450" y="66676"/>
          <a:ext cx="1057275" cy="12763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8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361950</xdr:rowOff>
    </xdr:from>
    <xdr:ext cx="2428875" cy="876300"/>
    <xdr:pic>
      <xdr:nvPicPr>
        <xdr:cNvPr id="2" name="Imagen 7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88" t="21477" r="58837" b="13423"/>
        <a:stretch/>
      </xdr:blipFill>
      <xdr:spPr bwMode="auto">
        <a:xfrm>
          <a:off x="781050" y="190500"/>
          <a:ext cx="2428875" cy="8763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64</xdr:row>
      <xdr:rowOff>195262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11</xdr:col>
      <xdr:colOff>552450</xdr:colOff>
      <xdr:row>0</xdr:row>
      <xdr:rowOff>66676</xdr:rowOff>
    </xdr:from>
    <xdr:ext cx="1057275" cy="1276350"/>
    <xdr:pic>
      <xdr:nvPicPr>
        <xdr:cNvPr id="7" name="Imagen 8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256" t="4028" r="8327" b="1342"/>
        <a:stretch/>
      </xdr:blipFill>
      <xdr:spPr bwMode="auto">
        <a:xfrm>
          <a:off x="8934450" y="66676"/>
          <a:ext cx="1057275" cy="12763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8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361950</xdr:rowOff>
    </xdr:from>
    <xdr:ext cx="2428875" cy="876300"/>
    <xdr:pic>
      <xdr:nvPicPr>
        <xdr:cNvPr id="2" name="Imagen 7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88" t="21477" r="58837" b="13423"/>
        <a:stretch/>
      </xdr:blipFill>
      <xdr:spPr bwMode="auto">
        <a:xfrm>
          <a:off x="781050" y="190500"/>
          <a:ext cx="2428875" cy="8763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64</xdr:row>
      <xdr:rowOff>195262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11</xdr:col>
      <xdr:colOff>552450</xdr:colOff>
      <xdr:row>0</xdr:row>
      <xdr:rowOff>66676</xdr:rowOff>
    </xdr:from>
    <xdr:ext cx="1057275" cy="1276350"/>
    <xdr:pic>
      <xdr:nvPicPr>
        <xdr:cNvPr id="7" name="Imagen 8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256" t="4028" r="8327" b="1342"/>
        <a:stretch/>
      </xdr:blipFill>
      <xdr:spPr bwMode="auto">
        <a:xfrm>
          <a:off x="8934450" y="66676"/>
          <a:ext cx="1057275" cy="12763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8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361950</xdr:rowOff>
    </xdr:from>
    <xdr:ext cx="2428875" cy="876300"/>
    <xdr:pic>
      <xdr:nvPicPr>
        <xdr:cNvPr id="2" name="Imagen 7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88" t="21477" r="58837" b="13423"/>
        <a:stretch/>
      </xdr:blipFill>
      <xdr:spPr bwMode="auto">
        <a:xfrm>
          <a:off x="781050" y="190500"/>
          <a:ext cx="2428875" cy="8763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64</xdr:row>
      <xdr:rowOff>195262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11</xdr:col>
      <xdr:colOff>552450</xdr:colOff>
      <xdr:row>0</xdr:row>
      <xdr:rowOff>66676</xdr:rowOff>
    </xdr:from>
    <xdr:ext cx="1057275" cy="1276350"/>
    <xdr:pic>
      <xdr:nvPicPr>
        <xdr:cNvPr id="7" name="Imagen 8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256" t="4028" r="8327" b="1342"/>
        <a:stretch/>
      </xdr:blipFill>
      <xdr:spPr bwMode="auto">
        <a:xfrm>
          <a:off x="8934450" y="66676"/>
          <a:ext cx="1057275" cy="12763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8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361950</xdr:rowOff>
    </xdr:from>
    <xdr:ext cx="2428875" cy="876300"/>
    <xdr:pic>
      <xdr:nvPicPr>
        <xdr:cNvPr id="2" name="Imagen 7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88" t="21477" r="58837" b="13423"/>
        <a:stretch/>
      </xdr:blipFill>
      <xdr:spPr bwMode="auto">
        <a:xfrm>
          <a:off x="781050" y="190500"/>
          <a:ext cx="2428875" cy="8763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64</xdr:row>
      <xdr:rowOff>195262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11</xdr:col>
      <xdr:colOff>552450</xdr:colOff>
      <xdr:row>0</xdr:row>
      <xdr:rowOff>66676</xdr:rowOff>
    </xdr:from>
    <xdr:ext cx="1057275" cy="1276350"/>
    <xdr:pic>
      <xdr:nvPicPr>
        <xdr:cNvPr id="7" name="Imagen 8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256" t="4028" r="8327" b="1342"/>
        <a:stretch/>
      </xdr:blipFill>
      <xdr:spPr bwMode="auto">
        <a:xfrm>
          <a:off x="8934450" y="66676"/>
          <a:ext cx="1057275" cy="12763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8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361950</xdr:rowOff>
    </xdr:from>
    <xdr:ext cx="2428875" cy="876300"/>
    <xdr:pic>
      <xdr:nvPicPr>
        <xdr:cNvPr id="2" name="Imagen 7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88" t="21477" r="58837" b="13423"/>
        <a:stretch/>
      </xdr:blipFill>
      <xdr:spPr bwMode="auto">
        <a:xfrm>
          <a:off x="781050" y="190500"/>
          <a:ext cx="2428875" cy="8763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64</xdr:row>
      <xdr:rowOff>195262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11</xdr:col>
      <xdr:colOff>552450</xdr:colOff>
      <xdr:row>0</xdr:row>
      <xdr:rowOff>66676</xdr:rowOff>
    </xdr:from>
    <xdr:ext cx="1057275" cy="1276350"/>
    <xdr:pic>
      <xdr:nvPicPr>
        <xdr:cNvPr id="7" name="Imagen 8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256" t="4028" r="8327" b="1342"/>
        <a:stretch/>
      </xdr:blipFill>
      <xdr:spPr bwMode="auto">
        <a:xfrm>
          <a:off x="8934450" y="66676"/>
          <a:ext cx="1057275" cy="12763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8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361950</xdr:rowOff>
    </xdr:from>
    <xdr:ext cx="2428875" cy="876300"/>
    <xdr:pic>
      <xdr:nvPicPr>
        <xdr:cNvPr id="2" name="Imagen 7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88" t="21477" r="58837" b="13423"/>
        <a:stretch/>
      </xdr:blipFill>
      <xdr:spPr bwMode="auto">
        <a:xfrm>
          <a:off x="781050" y="190500"/>
          <a:ext cx="2428875" cy="8763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64</xdr:row>
      <xdr:rowOff>195262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11</xdr:col>
      <xdr:colOff>552450</xdr:colOff>
      <xdr:row>0</xdr:row>
      <xdr:rowOff>66676</xdr:rowOff>
    </xdr:from>
    <xdr:ext cx="1057275" cy="1276350"/>
    <xdr:pic>
      <xdr:nvPicPr>
        <xdr:cNvPr id="7" name="Imagen 8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256" t="4028" r="8327" b="1342"/>
        <a:stretch/>
      </xdr:blipFill>
      <xdr:spPr bwMode="auto">
        <a:xfrm>
          <a:off x="8934450" y="66676"/>
          <a:ext cx="1057275" cy="12763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8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7"/>
  <sheetViews>
    <sheetView workbookViewId="0">
      <selection activeCell="E9" sqref="E9"/>
    </sheetView>
  </sheetViews>
  <sheetFormatPr baseColWidth="10" defaultRowHeight="15" x14ac:dyDescent="0.25"/>
  <cols>
    <col min="1" max="1" width="11.42578125" style="2"/>
    <col min="3" max="3" width="17.140625" customWidth="1"/>
    <col min="4" max="4" width="11.85546875" bestFit="1" customWidth="1"/>
  </cols>
  <sheetData>
    <row r="1" spans="1:16" ht="133.5" customHeight="1" x14ac:dyDescent="0.25">
      <c r="A1" s="28"/>
      <c r="B1" s="64" t="s">
        <v>43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29"/>
      <c r="P1" s="1"/>
    </row>
    <row r="2" spans="1:16" ht="23.25" x14ac:dyDescent="0.35">
      <c r="A2" s="28"/>
      <c r="B2" s="65" t="s">
        <v>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28"/>
    </row>
    <row r="4" spans="1:16" ht="23.25" x14ac:dyDescent="0.35">
      <c r="B4" s="67" t="s">
        <v>42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</row>
    <row r="5" spans="1:16" s="2" customFormat="1" ht="23.25" x14ac:dyDescent="0.35">
      <c r="B5" s="8"/>
      <c r="C5" s="8"/>
      <c r="D5" s="8"/>
      <c r="E5" s="8"/>
      <c r="F5" s="8"/>
      <c r="G5" s="21" t="s">
        <v>21</v>
      </c>
      <c r="H5" s="8"/>
      <c r="I5" s="8"/>
      <c r="J5" s="8"/>
      <c r="K5" s="8"/>
      <c r="L5" s="8"/>
      <c r="M5" s="8"/>
      <c r="N5" s="8"/>
    </row>
    <row r="6" spans="1:16" s="2" customFormat="1" ht="23.25" x14ac:dyDescent="0.35">
      <c r="B6" s="20" t="s">
        <v>20</v>
      </c>
      <c r="E6" s="8"/>
      <c r="F6" s="8"/>
      <c r="G6" s="8"/>
      <c r="H6" s="8"/>
      <c r="I6" s="8"/>
      <c r="J6" s="8"/>
      <c r="K6" s="8"/>
      <c r="L6" s="8"/>
      <c r="M6" s="8"/>
      <c r="N6" s="8"/>
    </row>
    <row r="7" spans="1:16" s="2" customFormat="1" ht="23.25" x14ac:dyDescent="0.35">
      <c r="B7" s="70" t="s">
        <v>8</v>
      </c>
      <c r="C7" s="70"/>
      <c r="D7" s="70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6" s="2" customFormat="1" ht="23.25" x14ac:dyDescent="0.35">
      <c r="B8" s="3">
        <v>1</v>
      </c>
      <c r="C8" s="4" t="s">
        <v>1</v>
      </c>
      <c r="D8" s="19">
        <v>766</v>
      </c>
      <c r="E8" s="8"/>
      <c r="F8" s="8"/>
      <c r="G8" s="8"/>
      <c r="H8" s="8"/>
      <c r="I8" s="8"/>
      <c r="J8" s="8"/>
      <c r="K8" s="8"/>
      <c r="L8" s="8"/>
      <c r="M8" s="8"/>
      <c r="N8" s="8"/>
    </row>
    <row r="9" spans="1:16" ht="15.75" x14ac:dyDescent="0.25">
      <c r="B9" s="3">
        <v>2</v>
      </c>
      <c r="C9" s="5" t="s">
        <v>30</v>
      </c>
      <c r="D9" s="19">
        <v>647</v>
      </c>
    </row>
    <row r="10" spans="1:16" ht="15.75" x14ac:dyDescent="0.25">
      <c r="B10" s="3">
        <v>3</v>
      </c>
      <c r="C10" s="5" t="s">
        <v>2</v>
      </c>
      <c r="D10" s="19">
        <v>211</v>
      </c>
    </row>
    <row r="11" spans="1:16" ht="31.5" x14ac:dyDescent="0.25">
      <c r="B11" s="3">
        <v>4</v>
      </c>
      <c r="C11" s="4" t="s">
        <v>3</v>
      </c>
      <c r="D11" s="19">
        <v>11</v>
      </c>
    </row>
    <row r="12" spans="1:16" ht="15.75" x14ac:dyDescent="0.25">
      <c r="B12" s="25">
        <v>5</v>
      </c>
      <c r="C12" s="4" t="s">
        <v>4</v>
      </c>
      <c r="D12" s="19">
        <v>62</v>
      </c>
    </row>
    <row r="13" spans="1:16" ht="15.75" x14ac:dyDescent="0.25">
      <c r="B13" s="25">
        <v>6</v>
      </c>
      <c r="C13" s="4" t="s">
        <v>37</v>
      </c>
      <c r="D13" s="6">
        <v>0</v>
      </c>
    </row>
    <row r="14" spans="1:16" ht="15.75" x14ac:dyDescent="0.25">
      <c r="B14" s="3">
        <v>7</v>
      </c>
      <c r="C14" s="4" t="s">
        <v>38</v>
      </c>
      <c r="D14" s="19">
        <v>0</v>
      </c>
    </row>
    <row r="15" spans="1:16" ht="15.75" x14ac:dyDescent="0.25">
      <c r="B15" s="63" t="s">
        <v>23</v>
      </c>
      <c r="C15" s="63"/>
      <c r="D15" s="26">
        <f>SUM(D8:D12)</f>
        <v>1697</v>
      </c>
    </row>
    <row r="17" spans="2:7" ht="15.75" x14ac:dyDescent="0.25">
      <c r="B17" s="68" t="s">
        <v>34</v>
      </c>
      <c r="C17" s="69"/>
      <c r="D17" s="23">
        <v>1697</v>
      </c>
      <c r="G17" s="22" t="s">
        <v>40</v>
      </c>
    </row>
    <row r="18" spans="2:7" ht="15.75" x14ac:dyDescent="0.25">
      <c r="B18" s="68" t="s">
        <v>35</v>
      </c>
      <c r="C18" s="69"/>
      <c r="D18" s="23">
        <v>11</v>
      </c>
    </row>
    <row r="19" spans="2:7" s="2" customFormat="1" ht="15.75" x14ac:dyDescent="0.25">
      <c r="B19" s="68" t="s">
        <v>39</v>
      </c>
      <c r="C19" s="69"/>
      <c r="D19" s="23">
        <v>62</v>
      </c>
      <c r="E19"/>
    </row>
    <row r="20" spans="2:7" s="2" customFormat="1" ht="15.75" x14ac:dyDescent="0.25">
      <c r="B20" s="68" t="s">
        <v>37</v>
      </c>
      <c r="C20" s="69"/>
      <c r="D20" s="23">
        <v>0</v>
      </c>
    </row>
    <row r="21" spans="2:7" s="2" customFormat="1" ht="15.75" x14ac:dyDescent="0.25">
      <c r="B21" s="68" t="s">
        <v>38</v>
      </c>
      <c r="C21" s="69"/>
      <c r="D21" s="23">
        <v>0</v>
      </c>
      <c r="G21" s="21" t="s">
        <v>25</v>
      </c>
    </row>
    <row r="22" spans="2:7" ht="15.75" x14ac:dyDescent="0.25">
      <c r="B22" s="68" t="s">
        <v>36</v>
      </c>
      <c r="C22" s="69"/>
      <c r="D22" s="27">
        <f>(D17)-D18</f>
        <v>1686</v>
      </c>
    </row>
    <row r="25" spans="2:7" ht="15.75" x14ac:dyDescent="0.25">
      <c r="B25" s="20" t="s">
        <v>24</v>
      </c>
    </row>
    <row r="26" spans="2:7" ht="15.75" x14ac:dyDescent="0.25">
      <c r="B26" s="63" t="s">
        <v>9</v>
      </c>
      <c r="C26" s="63"/>
      <c r="D26" s="63"/>
    </row>
    <row r="27" spans="2:7" ht="15.75" x14ac:dyDescent="0.25">
      <c r="B27" s="9">
        <v>1</v>
      </c>
      <c r="C27" s="10" t="s">
        <v>5</v>
      </c>
      <c r="D27" s="11">
        <v>29</v>
      </c>
    </row>
    <row r="28" spans="2:7" ht="31.5" x14ac:dyDescent="0.25">
      <c r="B28" s="3">
        <v>2</v>
      </c>
      <c r="C28" s="12" t="s">
        <v>31</v>
      </c>
      <c r="D28" s="11">
        <v>1626</v>
      </c>
    </row>
    <row r="29" spans="2:7" ht="15.75" x14ac:dyDescent="0.25">
      <c r="B29" s="9">
        <v>3</v>
      </c>
      <c r="C29" s="13" t="s">
        <v>6</v>
      </c>
      <c r="D29" s="14">
        <v>1</v>
      </c>
    </row>
    <row r="30" spans="2:7" ht="15.75" x14ac:dyDescent="0.25">
      <c r="B30" s="9">
        <v>4</v>
      </c>
      <c r="C30" s="10" t="s">
        <v>7</v>
      </c>
      <c r="D30" s="14">
        <v>30</v>
      </c>
    </row>
    <row r="31" spans="2:7" ht="15.75" x14ac:dyDescent="0.25">
      <c r="B31" s="71" t="s">
        <v>23</v>
      </c>
      <c r="C31" s="72"/>
      <c r="D31" s="24">
        <f>SUM(D27:D30)</f>
        <v>1686</v>
      </c>
    </row>
    <row r="35" spans="2:13" x14ac:dyDescent="0.25">
      <c r="G35" s="73" t="s">
        <v>41</v>
      </c>
      <c r="H35" s="73"/>
      <c r="I35" s="73"/>
      <c r="J35" s="73"/>
      <c r="K35" s="73"/>
      <c r="L35" s="73"/>
      <c r="M35" s="73"/>
    </row>
    <row r="36" spans="2:13" x14ac:dyDescent="0.25">
      <c r="G36" s="73"/>
      <c r="H36" s="73"/>
      <c r="I36" s="73"/>
      <c r="J36" s="73"/>
      <c r="K36" s="73"/>
      <c r="L36" s="73"/>
      <c r="M36" s="73"/>
    </row>
    <row r="38" spans="2:13" x14ac:dyDescent="0.25">
      <c r="B38" s="2"/>
      <c r="C38" s="2"/>
      <c r="D38" s="2"/>
    </row>
    <row r="39" spans="2:13" s="2" customFormat="1" x14ac:dyDescent="0.25"/>
    <row r="40" spans="2:13" s="2" customFormat="1" ht="15.75" x14ac:dyDescent="0.25">
      <c r="B40" s="20" t="s">
        <v>26</v>
      </c>
      <c r="C40" s="15"/>
      <c r="D40" s="16"/>
      <c r="G40" s="21" t="s">
        <v>27</v>
      </c>
    </row>
    <row r="41" spans="2:13" s="2" customFormat="1" ht="15.75" x14ac:dyDescent="0.25">
      <c r="B41" s="70" t="s">
        <v>19</v>
      </c>
      <c r="C41" s="70"/>
      <c r="D41" s="70"/>
    </row>
    <row r="42" spans="2:13" ht="15.75" x14ac:dyDescent="0.25">
      <c r="B42" s="9">
        <v>1</v>
      </c>
      <c r="C42" s="10" t="s">
        <v>10</v>
      </c>
      <c r="D42" s="11">
        <v>29</v>
      </c>
    </row>
    <row r="43" spans="2:13" ht="15.75" x14ac:dyDescent="0.25">
      <c r="B43" s="9">
        <v>2</v>
      </c>
      <c r="C43" s="10" t="s">
        <v>11</v>
      </c>
      <c r="D43" s="11">
        <v>1584</v>
      </c>
    </row>
    <row r="44" spans="2:13" ht="15.75" x14ac:dyDescent="0.25">
      <c r="B44" s="9">
        <v>3</v>
      </c>
      <c r="C44" s="10" t="s">
        <v>33</v>
      </c>
      <c r="D44" s="11">
        <v>0</v>
      </c>
    </row>
    <row r="45" spans="2:13" ht="15.75" x14ac:dyDescent="0.25">
      <c r="B45" s="9">
        <v>4</v>
      </c>
      <c r="C45" s="10" t="s">
        <v>32</v>
      </c>
      <c r="D45" s="11">
        <v>84</v>
      </c>
    </row>
    <row r="46" spans="2:13" ht="15.75" x14ac:dyDescent="0.25">
      <c r="B46" s="9">
        <v>5</v>
      </c>
      <c r="C46" s="10" t="s">
        <v>12</v>
      </c>
      <c r="D46" s="11">
        <v>0</v>
      </c>
    </row>
    <row r="47" spans="2:13" ht="15.75" x14ac:dyDescent="0.25">
      <c r="B47" s="63" t="s">
        <v>23</v>
      </c>
      <c r="C47" s="63"/>
      <c r="D47" s="7">
        <f>SUM(D42:D46)</f>
        <v>1697</v>
      </c>
    </row>
    <row r="54" spans="2:7" x14ac:dyDescent="0.25">
      <c r="B54" s="2"/>
      <c r="C54" s="2"/>
      <c r="D54" s="2"/>
    </row>
    <row r="55" spans="2:7" ht="15.75" x14ac:dyDescent="0.25">
      <c r="B55" s="20" t="s">
        <v>28</v>
      </c>
      <c r="G55" s="22" t="s">
        <v>40</v>
      </c>
    </row>
    <row r="56" spans="2:7" ht="15.75" x14ac:dyDescent="0.25">
      <c r="B56" s="63" t="s">
        <v>13</v>
      </c>
      <c r="C56" s="63"/>
      <c r="D56" s="63"/>
    </row>
    <row r="57" spans="2:7" ht="31.5" x14ac:dyDescent="0.25">
      <c r="B57" s="17">
        <v>1</v>
      </c>
      <c r="C57" s="18" t="s">
        <v>14</v>
      </c>
      <c r="D57" s="19">
        <v>1</v>
      </c>
    </row>
    <row r="58" spans="2:7" ht="31.5" x14ac:dyDescent="0.25">
      <c r="B58" s="17">
        <v>2</v>
      </c>
      <c r="C58" s="18" t="s">
        <v>15</v>
      </c>
      <c r="D58" s="19">
        <v>765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920</v>
      </c>
    </row>
    <row r="60" spans="2:7" ht="31.5" x14ac:dyDescent="0.25">
      <c r="B60" s="17">
        <v>4</v>
      </c>
      <c r="C60" s="18" t="s">
        <v>17</v>
      </c>
      <c r="D60" s="19">
        <v>0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74" t="s">
        <v>23</v>
      </c>
      <c r="C62" s="75"/>
      <c r="D62" s="9">
        <f>SUM(D57:D61)</f>
        <v>1686</v>
      </c>
      <c r="G62" s="22" t="s">
        <v>22</v>
      </c>
    </row>
    <row r="66" spans="7:13" x14ac:dyDescent="0.25">
      <c r="G66" s="73" t="s">
        <v>41</v>
      </c>
      <c r="H66" s="73"/>
      <c r="I66" s="73"/>
      <c r="J66" s="73"/>
      <c r="K66" s="73"/>
      <c r="L66" s="73"/>
      <c r="M66" s="73"/>
    </row>
    <row r="67" spans="7:13" x14ac:dyDescent="0.25">
      <c r="G67" s="73"/>
      <c r="H67" s="73"/>
      <c r="I67" s="73"/>
      <c r="J67" s="73"/>
      <c r="K67" s="73"/>
      <c r="L67" s="73"/>
      <c r="M67" s="73"/>
    </row>
  </sheetData>
  <mergeCells count="19">
    <mergeCell ref="B31:C31"/>
    <mergeCell ref="B47:C47"/>
    <mergeCell ref="B41:D41"/>
    <mergeCell ref="G35:M36"/>
    <mergeCell ref="G66:M67"/>
    <mergeCell ref="B62:C62"/>
    <mergeCell ref="B56:D56"/>
    <mergeCell ref="B26:D26"/>
    <mergeCell ref="B1:N1"/>
    <mergeCell ref="B2:N2"/>
    <mergeCell ref="B4:N4"/>
    <mergeCell ref="B22:C22"/>
    <mergeCell ref="B21:C21"/>
    <mergeCell ref="B18:C18"/>
    <mergeCell ref="B17:C17"/>
    <mergeCell ref="B19:C19"/>
    <mergeCell ref="B20:C20"/>
    <mergeCell ref="B7:D7"/>
    <mergeCell ref="B15:C15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7"/>
  <sheetViews>
    <sheetView workbookViewId="0">
      <selection activeCell="F30" sqref="F30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1.85546875" style="2" bestFit="1" customWidth="1"/>
    <col min="5" max="16384" width="11.42578125" style="2"/>
  </cols>
  <sheetData>
    <row r="1" spans="1:16" ht="133.5" customHeight="1" x14ac:dyDescent="0.25">
      <c r="A1" s="28"/>
      <c r="B1" s="64" t="s">
        <v>47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29"/>
      <c r="P1" s="1"/>
    </row>
    <row r="2" spans="1:16" ht="23.25" x14ac:dyDescent="0.35">
      <c r="A2" s="28"/>
      <c r="B2" s="65" t="s">
        <v>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28"/>
    </row>
    <row r="4" spans="1:16" ht="23.25" x14ac:dyDescent="0.35">
      <c r="B4" s="67" t="s">
        <v>46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</row>
    <row r="5" spans="1:16" ht="23.25" x14ac:dyDescent="0.35">
      <c r="B5" s="32"/>
      <c r="C5" s="32"/>
      <c r="D5" s="32"/>
      <c r="E5" s="32"/>
      <c r="F5" s="32"/>
      <c r="G5" s="21" t="s">
        <v>21</v>
      </c>
      <c r="H5" s="32"/>
      <c r="I5" s="32"/>
      <c r="J5" s="32"/>
      <c r="K5" s="32"/>
      <c r="L5" s="32"/>
      <c r="M5" s="32"/>
      <c r="N5" s="32"/>
    </row>
    <row r="6" spans="1:16" ht="23.25" x14ac:dyDescent="0.35">
      <c r="B6" s="20" t="s">
        <v>20</v>
      </c>
      <c r="E6" s="32"/>
      <c r="F6" s="32"/>
      <c r="G6" s="32"/>
      <c r="H6" s="32"/>
      <c r="I6" s="32"/>
      <c r="J6" s="32"/>
      <c r="K6" s="32"/>
      <c r="L6" s="32"/>
      <c r="M6" s="32"/>
      <c r="N6" s="32"/>
    </row>
    <row r="7" spans="1:16" ht="23.25" x14ac:dyDescent="0.35">
      <c r="B7" s="70" t="s">
        <v>8</v>
      </c>
      <c r="C7" s="70"/>
      <c r="D7" s="70"/>
      <c r="E7" s="32"/>
      <c r="F7" s="32"/>
      <c r="G7" s="32"/>
      <c r="H7" s="32"/>
      <c r="I7" s="32"/>
      <c r="J7" s="32"/>
      <c r="K7" s="32"/>
      <c r="L7" s="32"/>
      <c r="M7" s="32"/>
      <c r="N7" s="32"/>
    </row>
    <row r="8" spans="1:16" ht="23.25" x14ac:dyDescent="0.35">
      <c r="B8" s="31">
        <v>1</v>
      </c>
      <c r="C8" s="4" t="s">
        <v>1</v>
      </c>
      <c r="D8" s="19">
        <v>670</v>
      </c>
      <c r="E8" s="32"/>
      <c r="F8" s="32"/>
      <c r="G8" s="32"/>
      <c r="H8" s="32"/>
      <c r="I8" s="32"/>
      <c r="J8" s="32"/>
      <c r="K8" s="32"/>
      <c r="L8" s="32"/>
      <c r="M8" s="32"/>
      <c r="N8" s="32"/>
    </row>
    <row r="9" spans="1:16" ht="15.75" x14ac:dyDescent="0.25">
      <c r="B9" s="31">
        <v>2</v>
      </c>
      <c r="C9" s="5" t="s">
        <v>30</v>
      </c>
      <c r="D9" s="19">
        <v>466</v>
      </c>
    </row>
    <row r="10" spans="1:16" ht="15.75" x14ac:dyDescent="0.25">
      <c r="B10" s="31">
        <v>3</v>
      </c>
      <c r="C10" s="5" t="s">
        <v>2</v>
      </c>
      <c r="D10" s="19">
        <v>169</v>
      </c>
    </row>
    <row r="11" spans="1:16" ht="31.5" x14ac:dyDescent="0.25">
      <c r="B11" s="31">
        <v>4</v>
      </c>
      <c r="C11" s="4" t="s">
        <v>3</v>
      </c>
      <c r="D11" s="19">
        <v>14</v>
      </c>
    </row>
    <row r="12" spans="1:16" ht="15.75" x14ac:dyDescent="0.25">
      <c r="B12" s="31">
        <v>5</v>
      </c>
      <c r="C12" s="4" t="s">
        <v>4</v>
      </c>
      <c r="D12" s="19">
        <v>60</v>
      </c>
    </row>
    <row r="13" spans="1:16" ht="15.75" x14ac:dyDescent="0.25">
      <c r="B13" s="31">
        <v>6</v>
      </c>
      <c r="C13" s="4" t="s">
        <v>37</v>
      </c>
      <c r="D13" s="6">
        <v>0</v>
      </c>
    </row>
    <row r="14" spans="1:16" ht="15.75" x14ac:dyDescent="0.25">
      <c r="B14" s="31">
        <v>7</v>
      </c>
      <c r="C14" s="4" t="s">
        <v>38</v>
      </c>
      <c r="D14" s="19">
        <v>2</v>
      </c>
    </row>
    <row r="15" spans="1:16" ht="15.75" x14ac:dyDescent="0.25">
      <c r="B15" s="63" t="s">
        <v>23</v>
      </c>
      <c r="C15" s="63"/>
      <c r="D15" s="26">
        <f>SUM(D8:D12)</f>
        <v>1379</v>
      </c>
    </row>
    <row r="17" spans="2:7" ht="15.75" x14ac:dyDescent="0.25">
      <c r="B17" s="68" t="s">
        <v>34</v>
      </c>
      <c r="C17" s="69"/>
      <c r="D17" s="23">
        <v>1379</v>
      </c>
      <c r="G17" s="22" t="s">
        <v>45</v>
      </c>
    </row>
    <row r="18" spans="2:7" ht="15.75" x14ac:dyDescent="0.25">
      <c r="B18" s="68" t="s">
        <v>35</v>
      </c>
      <c r="C18" s="69"/>
      <c r="D18" s="23">
        <v>14</v>
      </c>
    </row>
    <row r="19" spans="2:7" ht="15.75" x14ac:dyDescent="0.25">
      <c r="B19" s="68" t="s">
        <v>39</v>
      </c>
      <c r="C19" s="69"/>
      <c r="D19" s="23">
        <v>60</v>
      </c>
    </row>
    <row r="20" spans="2:7" ht="15.75" x14ac:dyDescent="0.25">
      <c r="B20" s="68" t="s">
        <v>37</v>
      </c>
      <c r="C20" s="69"/>
      <c r="D20" s="23">
        <v>0</v>
      </c>
    </row>
    <row r="21" spans="2:7" ht="15.75" x14ac:dyDescent="0.25">
      <c r="B21" s="68" t="s">
        <v>38</v>
      </c>
      <c r="C21" s="69"/>
      <c r="D21" s="23">
        <v>2</v>
      </c>
      <c r="G21" s="21" t="s">
        <v>25</v>
      </c>
    </row>
    <row r="22" spans="2:7" ht="15.75" x14ac:dyDescent="0.25">
      <c r="B22" s="68" t="s">
        <v>36</v>
      </c>
      <c r="C22" s="69"/>
      <c r="D22" s="27">
        <f>(D17)-D18</f>
        <v>1365</v>
      </c>
    </row>
    <row r="25" spans="2:7" ht="15.75" x14ac:dyDescent="0.25">
      <c r="B25" s="20" t="s">
        <v>24</v>
      </c>
    </row>
    <row r="26" spans="2:7" ht="15.75" x14ac:dyDescent="0.25">
      <c r="B26" s="63" t="s">
        <v>9</v>
      </c>
      <c r="C26" s="63"/>
      <c r="D26" s="63"/>
    </row>
    <row r="27" spans="2:7" ht="15.75" x14ac:dyDescent="0.25">
      <c r="B27" s="30">
        <v>1</v>
      </c>
      <c r="C27" s="10" t="s">
        <v>5</v>
      </c>
      <c r="D27" s="11">
        <v>19</v>
      </c>
    </row>
    <row r="28" spans="2:7" ht="31.5" x14ac:dyDescent="0.25">
      <c r="B28" s="31">
        <v>2</v>
      </c>
      <c r="C28" s="12" t="s">
        <v>31</v>
      </c>
      <c r="D28" s="11">
        <v>1304</v>
      </c>
    </row>
    <row r="29" spans="2:7" ht="15.75" x14ac:dyDescent="0.25">
      <c r="B29" s="30">
        <v>3</v>
      </c>
      <c r="C29" s="13" t="s">
        <v>6</v>
      </c>
      <c r="D29" s="14">
        <v>1</v>
      </c>
    </row>
    <row r="30" spans="2:7" ht="15.75" x14ac:dyDescent="0.25">
      <c r="B30" s="30">
        <v>4</v>
      </c>
      <c r="C30" s="10" t="s">
        <v>7</v>
      </c>
      <c r="D30" s="14">
        <v>41</v>
      </c>
    </row>
    <row r="31" spans="2:7" ht="15.75" x14ac:dyDescent="0.25">
      <c r="B31" s="71" t="s">
        <v>23</v>
      </c>
      <c r="C31" s="72"/>
      <c r="D31" s="31">
        <f>SUM(D27:D30)</f>
        <v>1365</v>
      </c>
    </row>
    <row r="35" spans="2:13" x14ac:dyDescent="0.25">
      <c r="G35" s="73" t="s">
        <v>44</v>
      </c>
      <c r="H35" s="73"/>
      <c r="I35" s="73"/>
      <c r="J35" s="73"/>
      <c r="K35" s="73"/>
      <c r="L35" s="73"/>
      <c r="M35" s="73"/>
    </row>
    <row r="36" spans="2:13" x14ac:dyDescent="0.25">
      <c r="G36" s="73"/>
      <c r="H36" s="73"/>
      <c r="I36" s="73"/>
      <c r="J36" s="73"/>
      <c r="K36" s="73"/>
      <c r="L36" s="73"/>
      <c r="M36" s="73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70" t="s">
        <v>19</v>
      </c>
      <c r="C41" s="70"/>
      <c r="D41" s="70"/>
    </row>
    <row r="42" spans="2:13" ht="15.75" x14ac:dyDescent="0.25">
      <c r="B42" s="30">
        <v>1</v>
      </c>
      <c r="C42" s="10" t="s">
        <v>10</v>
      </c>
      <c r="D42" s="11">
        <v>19</v>
      </c>
    </row>
    <row r="43" spans="2:13" ht="15.75" x14ac:dyDescent="0.25">
      <c r="B43" s="30">
        <v>2</v>
      </c>
      <c r="C43" s="10" t="s">
        <v>11</v>
      </c>
      <c r="D43" s="11">
        <v>1264</v>
      </c>
    </row>
    <row r="44" spans="2:13" ht="15.75" x14ac:dyDescent="0.25">
      <c r="B44" s="30">
        <v>3</v>
      </c>
      <c r="C44" s="10" t="s">
        <v>33</v>
      </c>
      <c r="D44" s="11">
        <v>0</v>
      </c>
    </row>
    <row r="45" spans="2:13" ht="15.75" x14ac:dyDescent="0.25">
      <c r="B45" s="30">
        <v>4</v>
      </c>
      <c r="C45" s="10" t="s">
        <v>32</v>
      </c>
      <c r="D45" s="11">
        <v>96</v>
      </c>
    </row>
    <row r="46" spans="2:13" ht="15.75" x14ac:dyDescent="0.25">
      <c r="B46" s="30">
        <v>5</v>
      </c>
      <c r="C46" s="10" t="s">
        <v>12</v>
      </c>
      <c r="D46" s="11">
        <v>0</v>
      </c>
    </row>
    <row r="47" spans="2:13" ht="15.75" x14ac:dyDescent="0.25">
      <c r="B47" s="63" t="s">
        <v>23</v>
      </c>
      <c r="C47" s="63"/>
      <c r="D47" s="7">
        <f>SUM(D42:D46)</f>
        <v>1379</v>
      </c>
    </row>
    <row r="55" spans="2:7" ht="15.75" x14ac:dyDescent="0.25">
      <c r="B55" s="20" t="s">
        <v>28</v>
      </c>
      <c r="G55" s="22" t="s">
        <v>45</v>
      </c>
    </row>
    <row r="56" spans="2:7" ht="15.75" x14ac:dyDescent="0.25">
      <c r="B56" s="63" t="s">
        <v>13</v>
      </c>
      <c r="C56" s="63"/>
      <c r="D56" s="63"/>
    </row>
    <row r="57" spans="2:7" ht="31.5" x14ac:dyDescent="0.25">
      <c r="B57" s="17">
        <v>1</v>
      </c>
      <c r="C57" s="18" t="s">
        <v>14</v>
      </c>
      <c r="D57" s="19">
        <v>1</v>
      </c>
    </row>
    <row r="58" spans="2:7" ht="31.5" x14ac:dyDescent="0.25">
      <c r="B58" s="17">
        <v>2</v>
      </c>
      <c r="C58" s="18" t="s">
        <v>15</v>
      </c>
      <c r="D58" s="19">
        <v>788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576</v>
      </c>
    </row>
    <row r="60" spans="2:7" ht="31.5" x14ac:dyDescent="0.25">
      <c r="B60" s="17">
        <v>4</v>
      </c>
      <c r="C60" s="18" t="s">
        <v>17</v>
      </c>
      <c r="D60" s="19">
        <v>0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74" t="s">
        <v>23</v>
      </c>
      <c r="C62" s="75"/>
      <c r="D62" s="30">
        <f>SUM(D57:D61)</f>
        <v>1365</v>
      </c>
      <c r="G62" s="22" t="s">
        <v>22</v>
      </c>
    </row>
    <row r="66" spans="7:13" x14ac:dyDescent="0.25">
      <c r="G66" s="73" t="s">
        <v>44</v>
      </c>
      <c r="H66" s="73"/>
      <c r="I66" s="73"/>
      <c r="J66" s="73"/>
      <c r="K66" s="73"/>
      <c r="L66" s="73"/>
      <c r="M66" s="73"/>
    </row>
    <row r="67" spans="7:13" x14ac:dyDescent="0.25">
      <c r="G67" s="73"/>
      <c r="H67" s="73"/>
      <c r="I67" s="73"/>
      <c r="J67" s="73"/>
      <c r="K67" s="73"/>
      <c r="L67" s="73"/>
      <c r="M67" s="73"/>
    </row>
  </sheetData>
  <mergeCells count="19">
    <mergeCell ref="B7:D7"/>
    <mergeCell ref="B15:C15"/>
    <mergeCell ref="B26:D26"/>
    <mergeCell ref="B1:N1"/>
    <mergeCell ref="B2:N2"/>
    <mergeCell ref="B4:N4"/>
    <mergeCell ref="B22:C22"/>
    <mergeCell ref="B21:C21"/>
    <mergeCell ref="B18:C18"/>
    <mergeCell ref="B17:C17"/>
    <mergeCell ref="B19:C19"/>
    <mergeCell ref="B20:C20"/>
    <mergeCell ref="B31:C31"/>
    <mergeCell ref="B47:C47"/>
    <mergeCell ref="B41:D41"/>
    <mergeCell ref="G35:M36"/>
    <mergeCell ref="G66:M67"/>
    <mergeCell ref="B62:C62"/>
    <mergeCell ref="B56:D56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7"/>
  <sheetViews>
    <sheetView workbookViewId="0">
      <selection activeCell="Q1" sqref="Q1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1.85546875" style="2" bestFit="1" customWidth="1"/>
    <col min="5" max="16384" width="11.42578125" style="2"/>
  </cols>
  <sheetData>
    <row r="1" spans="1:16" ht="133.5" customHeight="1" x14ac:dyDescent="0.25">
      <c r="A1" s="28"/>
      <c r="B1" s="64" t="s">
        <v>49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29"/>
      <c r="P1" s="1"/>
    </row>
    <row r="2" spans="1:16" ht="23.25" x14ac:dyDescent="0.35">
      <c r="A2" s="28"/>
      <c r="B2" s="65" t="s">
        <v>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28"/>
    </row>
    <row r="4" spans="1:16" ht="23.25" x14ac:dyDescent="0.35">
      <c r="B4" s="67" t="s">
        <v>48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</row>
    <row r="5" spans="1:16" ht="23.25" x14ac:dyDescent="0.35">
      <c r="B5" s="34"/>
      <c r="C5" s="34"/>
      <c r="D5" s="34"/>
      <c r="E5" s="34"/>
      <c r="F5" s="34"/>
      <c r="G5" s="21" t="s">
        <v>21</v>
      </c>
      <c r="H5" s="34"/>
      <c r="I5" s="34"/>
      <c r="J5" s="34"/>
      <c r="K5" s="34"/>
      <c r="L5" s="34"/>
      <c r="M5" s="34"/>
      <c r="N5" s="34"/>
    </row>
    <row r="6" spans="1:16" ht="23.25" x14ac:dyDescent="0.35">
      <c r="B6" s="20" t="s">
        <v>20</v>
      </c>
      <c r="E6" s="34"/>
      <c r="F6" s="34"/>
      <c r="G6" s="34"/>
      <c r="H6" s="34"/>
      <c r="I6" s="34"/>
      <c r="J6" s="34"/>
      <c r="K6" s="34"/>
      <c r="L6" s="34"/>
      <c r="M6" s="34"/>
      <c r="N6" s="34"/>
    </row>
    <row r="7" spans="1:16" ht="23.25" x14ac:dyDescent="0.35">
      <c r="B7" s="70" t="s">
        <v>8</v>
      </c>
      <c r="C7" s="70"/>
      <c r="D7" s="70"/>
      <c r="E7" s="34"/>
      <c r="F7" s="34"/>
      <c r="G7" s="34"/>
      <c r="H7" s="34"/>
      <c r="I7" s="34"/>
      <c r="J7" s="34"/>
      <c r="K7" s="34"/>
      <c r="L7" s="34"/>
      <c r="M7" s="34"/>
      <c r="N7" s="34"/>
    </row>
    <row r="8" spans="1:16" ht="23.25" x14ac:dyDescent="0.35">
      <c r="B8" s="35">
        <v>1</v>
      </c>
      <c r="C8" s="4" t="s">
        <v>1</v>
      </c>
      <c r="D8" s="19">
        <v>641</v>
      </c>
      <c r="E8" s="34"/>
      <c r="F8" s="34"/>
      <c r="G8" s="34"/>
      <c r="H8" s="34"/>
      <c r="I8" s="34"/>
      <c r="J8" s="34"/>
      <c r="K8" s="34"/>
      <c r="L8" s="34"/>
      <c r="M8" s="34"/>
      <c r="N8" s="34"/>
    </row>
    <row r="9" spans="1:16" ht="15.75" x14ac:dyDescent="0.25">
      <c r="B9" s="35">
        <v>2</v>
      </c>
      <c r="C9" s="5" t="s">
        <v>30</v>
      </c>
      <c r="D9" s="19">
        <v>624</v>
      </c>
    </row>
    <row r="10" spans="1:16" ht="15.75" x14ac:dyDescent="0.25">
      <c r="B10" s="35">
        <v>3</v>
      </c>
      <c r="C10" s="5" t="s">
        <v>2</v>
      </c>
      <c r="D10" s="19">
        <v>204</v>
      </c>
    </row>
    <row r="11" spans="1:16" ht="31.5" x14ac:dyDescent="0.25">
      <c r="B11" s="35">
        <v>4</v>
      </c>
      <c r="C11" s="4" t="s">
        <v>3</v>
      </c>
      <c r="D11" s="19">
        <v>16</v>
      </c>
    </row>
    <row r="12" spans="1:16" ht="15.75" x14ac:dyDescent="0.25">
      <c r="B12" s="35">
        <v>5</v>
      </c>
      <c r="C12" s="4" t="s">
        <v>4</v>
      </c>
      <c r="D12" s="19">
        <v>62</v>
      </c>
    </row>
    <row r="13" spans="1:16" ht="15.75" x14ac:dyDescent="0.25">
      <c r="B13" s="35">
        <v>6</v>
      </c>
      <c r="C13" s="4" t="s">
        <v>37</v>
      </c>
      <c r="D13" s="6">
        <v>0</v>
      </c>
    </row>
    <row r="14" spans="1:16" ht="15.75" x14ac:dyDescent="0.25">
      <c r="B14" s="35">
        <v>7</v>
      </c>
      <c r="C14" s="4" t="s">
        <v>38</v>
      </c>
      <c r="D14" s="19">
        <v>1</v>
      </c>
    </row>
    <row r="15" spans="1:16" ht="15.75" x14ac:dyDescent="0.25">
      <c r="B15" s="63" t="s">
        <v>23</v>
      </c>
      <c r="C15" s="63"/>
      <c r="D15" s="26">
        <f>SUM(D8:D11)</f>
        <v>1485</v>
      </c>
    </row>
    <row r="17" spans="2:7" ht="15.75" x14ac:dyDescent="0.25">
      <c r="B17" s="68" t="s">
        <v>34</v>
      </c>
      <c r="C17" s="69"/>
      <c r="D17" s="23">
        <v>1485</v>
      </c>
      <c r="G17" s="22" t="s">
        <v>45</v>
      </c>
    </row>
    <row r="18" spans="2:7" ht="15.75" x14ac:dyDescent="0.25">
      <c r="B18" s="68" t="s">
        <v>35</v>
      </c>
      <c r="C18" s="69"/>
      <c r="D18" s="23">
        <v>16</v>
      </c>
    </row>
    <row r="19" spans="2:7" ht="15.75" x14ac:dyDescent="0.25">
      <c r="B19" s="68" t="s">
        <v>39</v>
      </c>
      <c r="C19" s="69"/>
      <c r="D19" s="23">
        <v>62</v>
      </c>
    </row>
    <row r="20" spans="2:7" ht="15.75" x14ac:dyDescent="0.25">
      <c r="B20" s="68" t="s">
        <v>37</v>
      </c>
      <c r="C20" s="69"/>
      <c r="D20" s="23">
        <v>0</v>
      </c>
    </row>
    <row r="21" spans="2:7" ht="15.75" x14ac:dyDescent="0.25">
      <c r="B21" s="68" t="s">
        <v>38</v>
      </c>
      <c r="C21" s="69"/>
      <c r="D21" s="23">
        <v>1</v>
      </c>
      <c r="G21" s="21" t="s">
        <v>25</v>
      </c>
    </row>
    <row r="22" spans="2:7" ht="15.75" x14ac:dyDescent="0.25">
      <c r="B22" s="68" t="s">
        <v>36</v>
      </c>
      <c r="C22" s="69"/>
      <c r="D22" s="27">
        <f>(D17)-D18</f>
        <v>1469</v>
      </c>
    </row>
    <row r="25" spans="2:7" ht="15.75" x14ac:dyDescent="0.25">
      <c r="B25" s="20" t="s">
        <v>24</v>
      </c>
    </row>
    <row r="26" spans="2:7" ht="15.75" x14ac:dyDescent="0.25">
      <c r="B26" s="63" t="s">
        <v>9</v>
      </c>
      <c r="C26" s="63"/>
      <c r="D26" s="63"/>
    </row>
    <row r="27" spans="2:7" ht="15.75" x14ac:dyDescent="0.25">
      <c r="B27" s="33">
        <v>1</v>
      </c>
      <c r="C27" s="10" t="s">
        <v>5</v>
      </c>
      <c r="D27" s="11">
        <v>12</v>
      </c>
    </row>
    <row r="28" spans="2:7" ht="31.5" x14ac:dyDescent="0.25">
      <c r="B28" s="35">
        <v>2</v>
      </c>
      <c r="C28" s="12" t="s">
        <v>31</v>
      </c>
      <c r="D28" s="11">
        <v>1223</v>
      </c>
    </row>
    <row r="29" spans="2:7" ht="15.75" x14ac:dyDescent="0.25">
      <c r="B29" s="33">
        <v>3</v>
      </c>
      <c r="C29" s="13" t="s">
        <v>6</v>
      </c>
      <c r="D29" s="14">
        <v>1</v>
      </c>
    </row>
    <row r="30" spans="2:7" ht="15.75" x14ac:dyDescent="0.25">
      <c r="B30" s="33">
        <v>4</v>
      </c>
      <c r="C30" s="10" t="s">
        <v>7</v>
      </c>
      <c r="D30" s="14">
        <v>29</v>
      </c>
    </row>
    <row r="31" spans="2:7" ht="15.75" x14ac:dyDescent="0.25">
      <c r="B31" s="71" t="s">
        <v>23</v>
      </c>
      <c r="C31" s="72"/>
      <c r="D31" s="35">
        <f>SUM(D27:D30)</f>
        <v>1265</v>
      </c>
    </row>
    <row r="35" spans="2:13" x14ac:dyDescent="0.25">
      <c r="G35" s="73" t="s">
        <v>44</v>
      </c>
      <c r="H35" s="73"/>
      <c r="I35" s="73"/>
      <c r="J35" s="73"/>
      <c r="K35" s="73"/>
      <c r="L35" s="73"/>
      <c r="M35" s="73"/>
    </row>
    <row r="36" spans="2:13" x14ac:dyDescent="0.25">
      <c r="G36" s="73"/>
      <c r="H36" s="73"/>
      <c r="I36" s="73"/>
      <c r="J36" s="73"/>
      <c r="K36" s="73"/>
      <c r="L36" s="73"/>
      <c r="M36" s="73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70" t="s">
        <v>19</v>
      </c>
      <c r="C41" s="70"/>
      <c r="D41" s="70"/>
    </row>
    <row r="42" spans="2:13" ht="15.75" x14ac:dyDescent="0.25">
      <c r="B42" s="33">
        <v>1</v>
      </c>
      <c r="C42" s="10" t="s">
        <v>10</v>
      </c>
      <c r="D42" s="11">
        <v>39</v>
      </c>
    </row>
    <row r="43" spans="2:13" ht="15.75" x14ac:dyDescent="0.25">
      <c r="B43" s="33">
        <v>2</v>
      </c>
      <c r="C43" s="10" t="s">
        <v>11</v>
      </c>
      <c r="D43" s="11">
        <v>1348</v>
      </c>
    </row>
    <row r="44" spans="2:13" ht="15.75" x14ac:dyDescent="0.25">
      <c r="B44" s="33">
        <v>3</v>
      </c>
      <c r="C44" s="10" t="s">
        <v>33</v>
      </c>
      <c r="D44" s="11">
        <v>0</v>
      </c>
    </row>
    <row r="45" spans="2:13" ht="15.75" x14ac:dyDescent="0.25">
      <c r="B45" s="33">
        <v>4</v>
      </c>
      <c r="C45" s="10" t="s">
        <v>32</v>
      </c>
      <c r="D45" s="11">
        <v>98</v>
      </c>
    </row>
    <row r="46" spans="2:13" ht="15.75" x14ac:dyDescent="0.25">
      <c r="B46" s="33">
        <v>5</v>
      </c>
      <c r="C46" s="10" t="s">
        <v>12</v>
      </c>
      <c r="D46" s="11">
        <v>0</v>
      </c>
    </row>
    <row r="47" spans="2:13" ht="15.75" x14ac:dyDescent="0.25">
      <c r="B47" s="63" t="s">
        <v>23</v>
      </c>
      <c r="C47" s="63"/>
      <c r="D47" s="7">
        <f>SUM(D42:D46)</f>
        <v>1485</v>
      </c>
    </row>
    <row r="55" spans="2:7" ht="15.75" customHeight="1" x14ac:dyDescent="0.25">
      <c r="B55" s="20" t="s">
        <v>28</v>
      </c>
      <c r="G55" s="22" t="s">
        <v>45</v>
      </c>
    </row>
    <row r="56" spans="2:7" ht="15.75" x14ac:dyDescent="0.25">
      <c r="B56" s="63" t="s">
        <v>13</v>
      </c>
      <c r="C56" s="63"/>
      <c r="D56" s="63"/>
    </row>
    <row r="57" spans="2:7" ht="31.5" x14ac:dyDescent="0.25">
      <c r="B57" s="17">
        <v>1</v>
      </c>
      <c r="C57" s="18" t="s">
        <v>14</v>
      </c>
      <c r="D57" s="19">
        <v>0</v>
      </c>
    </row>
    <row r="58" spans="2:7" ht="31.5" x14ac:dyDescent="0.25">
      <c r="B58" s="17">
        <v>2</v>
      </c>
      <c r="C58" s="18" t="s">
        <v>15</v>
      </c>
      <c r="D58" s="19">
        <v>630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634</v>
      </c>
    </row>
    <row r="60" spans="2:7" ht="31.5" x14ac:dyDescent="0.25">
      <c r="B60" s="17">
        <v>4</v>
      </c>
      <c r="C60" s="18" t="s">
        <v>17</v>
      </c>
      <c r="D60" s="19">
        <v>1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74" t="s">
        <v>23</v>
      </c>
      <c r="C62" s="75"/>
      <c r="D62" s="33">
        <f>SUM(D57:D61)</f>
        <v>1265</v>
      </c>
      <c r="G62" s="22" t="s">
        <v>22</v>
      </c>
    </row>
    <row r="66" spans="7:13" x14ac:dyDescent="0.25">
      <c r="G66" s="73" t="s">
        <v>44</v>
      </c>
      <c r="H66" s="73"/>
      <c r="I66" s="73"/>
      <c r="J66" s="73"/>
      <c r="K66" s="73"/>
      <c r="L66" s="73"/>
      <c r="M66" s="73"/>
    </row>
    <row r="67" spans="7:13" x14ac:dyDescent="0.25">
      <c r="G67" s="73"/>
      <c r="H67" s="73"/>
      <c r="I67" s="73"/>
      <c r="J67" s="73"/>
      <c r="K67" s="73"/>
      <c r="L67" s="73"/>
      <c r="M67" s="73"/>
    </row>
  </sheetData>
  <mergeCells count="19">
    <mergeCell ref="B31:C31"/>
    <mergeCell ref="B47:C47"/>
    <mergeCell ref="B41:D41"/>
    <mergeCell ref="G35:M36"/>
    <mergeCell ref="G66:M67"/>
    <mergeCell ref="B62:C62"/>
    <mergeCell ref="B56:D56"/>
    <mergeCell ref="B7:D7"/>
    <mergeCell ref="B15:C15"/>
    <mergeCell ref="B26:D26"/>
    <mergeCell ref="B1:N1"/>
    <mergeCell ref="B2:N2"/>
    <mergeCell ref="B4:N4"/>
    <mergeCell ref="B22:C22"/>
    <mergeCell ref="B21:C21"/>
    <mergeCell ref="B18:C18"/>
    <mergeCell ref="B17:C17"/>
    <mergeCell ref="B19:C19"/>
    <mergeCell ref="B20:C20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7"/>
  <sheetViews>
    <sheetView workbookViewId="0">
      <selection activeCell="C53" sqref="C53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1.85546875" style="2" bestFit="1" customWidth="1"/>
    <col min="5" max="16384" width="11.42578125" style="2"/>
  </cols>
  <sheetData>
    <row r="1" spans="1:16" ht="133.5" customHeight="1" x14ac:dyDescent="0.25">
      <c r="A1" s="28"/>
      <c r="B1" s="64" t="s">
        <v>51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29"/>
      <c r="P1" s="1"/>
    </row>
    <row r="2" spans="1:16" ht="23.25" x14ac:dyDescent="0.35">
      <c r="A2" s="28"/>
      <c r="B2" s="65" t="s">
        <v>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28"/>
    </row>
    <row r="4" spans="1:16" ht="23.25" x14ac:dyDescent="0.35">
      <c r="B4" s="67" t="s">
        <v>50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</row>
    <row r="5" spans="1:16" ht="23.25" x14ac:dyDescent="0.35">
      <c r="B5" s="38"/>
      <c r="C5" s="38"/>
      <c r="D5" s="38"/>
      <c r="E5" s="38"/>
      <c r="F5" s="38"/>
      <c r="G5" s="21" t="s">
        <v>21</v>
      </c>
      <c r="H5" s="38"/>
      <c r="I5" s="38"/>
      <c r="J5" s="38"/>
      <c r="K5" s="38"/>
      <c r="L5" s="38"/>
      <c r="M5" s="38"/>
      <c r="N5" s="38"/>
    </row>
    <row r="6" spans="1:16" ht="23.25" x14ac:dyDescent="0.35">
      <c r="B6" s="20" t="s">
        <v>20</v>
      </c>
      <c r="E6" s="38"/>
      <c r="F6" s="38"/>
      <c r="G6" s="38"/>
      <c r="H6" s="38"/>
      <c r="I6" s="38"/>
      <c r="J6" s="38"/>
      <c r="K6" s="38"/>
      <c r="L6" s="38"/>
      <c r="M6" s="38"/>
      <c r="N6" s="38"/>
    </row>
    <row r="7" spans="1:16" ht="23.25" x14ac:dyDescent="0.35">
      <c r="B7" s="70" t="s">
        <v>8</v>
      </c>
      <c r="C7" s="70"/>
      <c r="D7" s="70"/>
      <c r="E7" s="38"/>
      <c r="F7" s="38"/>
      <c r="G7" s="38"/>
      <c r="H7" s="38"/>
      <c r="I7" s="38"/>
      <c r="J7" s="38"/>
      <c r="K7" s="38"/>
      <c r="L7" s="38"/>
      <c r="M7" s="38"/>
      <c r="N7" s="38"/>
    </row>
    <row r="8" spans="1:16" ht="23.25" x14ac:dyDescent="0.35">
      <c r="B8" s="37">
        <v>1</v>
      </c>
      <c r="C8" s="4" t="s">
        <v>1</v>
      </c>
      <c r="D8" s="19">
        <v>540</v>
      </c>
      <c r="E8" s="38"/>
      <c r="F8" s="38"/>
      <c r="G8" s="38"/>
      <c r="H8" s="38"/>
      <c r="I8" s="38"/>
      <c r="J8" s="38"/>
      <c r="K8" s="38"/>
      <c r="L8" s="38"/>
      <c r="M8" s="38"/>
      <c r="N8" s="38"/>
    </row>
    <row r="9" spans="1:16" ht="15.75" x14ac:dyDescent="0.25">
      <c r="B9" s="37">
        <v>2</v>
      </c>
      <c r="C9" s="5" t="s">
        <v>30</v>
      </c>
      <c r="D9" s="19">
        <v>550</v>
      </c>
    </row>
    <row r="10" spans="1:16" ht="15.75" x14ac:dyDescent="0.25">
      <c r="B10" s="37">
        <v>3</v>
      </c>
      <c r="C10" s="5" t="s">
        <v>2</v>
      </c>
      <c r="D10" s="19">
        <v>222</v>
      </c>
    </row>
    <row r="11" spans="1:16" ht="31.5" x14ac:dyDescent="0.25">
      <c r="B11" s="37">
        <v>4</v>
      </c>
      <c r="C11" s="4" t="s">
        <v>3</v>
      </c>
      <c r="D11" s="19">
        <v>10</v>
      </c>
    </row>
    <row r="12" spans="1:16" ht="15.75" x14ac:dyDescent="0.25">
      <c r="B12" s="37">
        <v>5</v>
      </c>
      <c r="C12" s="4" t="s">
        <v>4</v>
      </c>
      <c r="D12" s="19">
        <v>72</v>
      </c>
    </row>
    <row r="13" spans="1:16" ht="15.75" x14ac:dyDescent="0.25">
      <c r="B13" s="37">
        <v>6</v>
      </c>
      <c r="C13" s="4" t="s">
        <v>37</v>
      </c>
      <c r="D13" s="6">
        <v>0</v>
      </c>
    </row>
    <row r="14" spans="1:16" ht="15.75" x14ac:dyDescent="0.25">
      <c r="B14" s="37">
        <v>7</v>
      </c>
      <c r="C14" s="4" t="s">
        <v>38</v>
      </c>
      <c r="D14" s="19">
        <v>0</v>
      </c>
    </row>
    <row r="15" spans="1:16" ht="15.75" x14ac:dyDescent="0.25">
      <c r="B15" s="63" t="s">
        <v>23</v>
      </c>
      <c r="C15" s="63"/>
      <c r="D15" s="26">
        <f>SUM(D8:D11)</f>
        <v>1322</v>
      </c>
    </row>
    <row r="17" spans="2:7" ht="15.75" x14ac:dyDescent="0.25">
      <c r="B17" s="68" t="s">
        <v>34</v>
      </c>
      <c r="C17" s="69"/>
      <c r="D17" s="23">
        <v>1322</v>
      </c>
      <c r="G17" s="22" t="s">
        <v>45</v>
      </c>
    </row>
    <row r="18" spans="2:7" ht="15.75" x14ac:dyDescent="0.25">
      <c r="B18" s="68" t="s">
        <v>35</v>
      </c>
      <c r="C18" s="69"/>
      <c r="D18" s="23">
        <v>10</v>
      </c>
    </row>
    <row r="19" spans="2:7" ht="15.75" x14ac:dyDescent="0.25">
      <c r="B19" s="68" t="s">
        <v>39</v>
      </c>
      <c r="C19" s="69"/>
      <c r="D19" s="23">
        <v>72</v>
      </c>
    </row>
    <row r="20" spans="2:7" ht="15.75" x14ac:dyDescent="0.25">
      <c r="B20" s="68" t="s">
        <v>37</v>
      </c>
      <c r="C20" s="69"/>
      <c r="D20" s="23">
        <v>0</v>
      </c>
    </row>
    <row r="21" spans="2:7" ht="15.75" x14ac:dyDescent="0.25">
      <c r="B21" s="68" t="s">
        <v>38</v>
      </c>
      <c r="C21" s="69"/>
      <c r="D21" s="23">
        <v>0</v>
      </c>
      <c r="G21" s="21" t="s">
        <v>25</v>
      </c>
    </row>
    <row r="22" spans="2:7" ht="15.75" x14ac:dyDescent="0.25">
      <c r="B22" s="68" t="s">
        <v>36</v>
      </c>
      <c r="C22" s="69"/>
      <c r="D22" s="27">
        <f>(D17)-D18</f>
        <v>1312</v>
      </c>
    </row>
    <row r="25" spans="2:7" ht="15.75" x14ac:dyDescent="0.25">
      <c r="B25" s="20" t="s">
        <v>24</v>
      </c>
    </row>
    <row r="26" spans="2:7" ht="15.75" x14ac:dyDescent="0.25">
      <c r="B26" s="63" t="s">
        <v>9</v>
      </c>
      <c r="C26" s="63"/>
      <c r="D26" s="63"/>
    </row>
    <row r="27" spans="2:7" ht="15.75" x14ac:dyDescent="0.25">
      <c r="B27" s="36">
        <v>1</v>
      </c>
      <c r="C27" s="10" t="s">
        <v>5</v>
      </c>
      <c r="D27" s="11">
        <v>12</v>
      </c>
    </row>
    <row r="28" spans="2:7" ht="31.5" x14ac:dyDescent="0.25">
      <c r="B28" s="37">
        <v>2</v>
      </c>
      <c r="C28" s="12" t="s">
        <v>31</v>
      </c>
      <c r="D28" s="11">
        <v>1223</v>
      </c>
    </row>
    <row r="29" spans="2:7" ht="15.75" x14ac:dyDescent="0.25">
      <c r="B29" s="36">
        <v>3</v>
      </c>
      <c r="C29" s="13" t="s">
        <v>6</v>
      </c>
      <c r="D29" s="14">
        <v>1</v>
      </c>
    </row>
    <row r="30" spans="2:7" ht="15.75" x14ac:dyDescent="0.25">
      <c r="B30" s="36">
        <v>4</v>
      </c>
      <c r="C30" s="10" t="s">
        <v>7</v>
      </c>
      <c r="D30" s="14">
        <v>29</v>
      </c>
    </row>
    <row r="31" spans="2:7" ht="15.75" x14ac:dyDescent="0.25">
      <c r="B31" s="71" t="s">
        <v>23</v>
      </c>
      <c r="C31" s="72"/>
      <c r="D31" s="37">
        <f>SUM(D27:D30)</f>
        <v>1265</v>
      </c>
    </row>
    <row r="35" spans="2:13" x14ac:dyDescent="0.25">
      <c r="G35" s="73" t="s">
        <v>44</v>
      </c>
      <c r="H35" s="73"/>
      <c r="I35" s="73"/>
      <c r="J35" s="73"/>
      <c r="K35" s="73"/>
      <c r="L35" s="73"/>
      <c r="M35" s="73"/>
    </row>
    <row r="36" spans="2:13" x14ac:dyDescent="0.25">
      <c r="G36" s="73"/>
      <c r="H36" s="73"/>
      <c r="I36" s="73"/>
      <c r="J36" s="73"/>
      <c r="K36" s="73"/>
      <c r="L36" s="73"/>
      <c r="M36" s="73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70" t="s">
        <v>19</v>
      </c>
      <c r="C41" s="70"/>
      <c r="D41" s="70"/>
    </row>
    <row r="42" spans="2:13" ht="15.75" x14ac:dyDescent="0.25">
      <c r="B42" s="36">
        <v>1</v>
      </c>
      <c r="C42" s="10" t="s">
        <v>10</v>
      </c>
      <c r="D42" s="11">
        <v>18</v>
      </c>
    </row>
    <row r="43" spans="2:13" ht="15.75" x14ac:dyDescent="0.25">
      <c r="B43" s="36">
        <v>2</v>
      </c>
      <c r="C43" s="10" t="s">
        <v>11</v>
      </c>
      <c r="D43" s="11">
        <v>1131</v>
      </c>
    </row>
    <row r="44" spans="2:13" ht="15.75" x14ac:dyDescent="0.25">
      <c r="B44" s="36">
        <v>3</v>
      </c>
      <c r="C44" s="10" t="s">
        <v>33</v>
      </c>
      <c r="D44" s="11">
        <v>0</v>
      </c>
    </row>
    <row r="45" spans="2:13" ht="15.75" x14ac:dyDescent="0.25">
      <c r="B45" s="36">
        <v>4</v>
      </c>
      <c r="C45" s="10" t="s">
        <v>32</v>
      </c>
      <c r="D45" s="11">
        <v>173</v>
      </c>
    </row>
    <row r="46" spans="2:13" ht="15.75" x14ac:dyDescent="0.25">
      <c r="B46" s="36">
        <v>5</v>
      </c>
      <c r="C46" s="10" t="s">
        <v>12</v>
      </c>
      <c r="D46" s="11">
        <v>0</v>
      </c>
    </row>
    <row r="47" spans="2:13" ht="15.75" x14ac:dyDescent="0.25">
      <c r="B47" s="63" t="s">
        <v>23</v>
      </c>
      <c r="C47" s="63"/>
      <c r="D47" s="7">
        <f>SUM(D42:D46)</f>
        <v>1322</v>
      </c>
    </row>
    <row r="55" spans="2:7" ht="15.75" customHeight="1" x14ac:dyDescent="0.25">
      <c r="B55" s="20" t="s">
        <v>28</v>
      </c>
      <c r="G55" s="22" t="s">
        <v>45</v>
      </c>
    </row>
    <row r="56" spans="2:7" ht="15.75" x14ac:dyDescent="0.25">
      <c r="B56" s="63" t="s">
        <v>13</v>
      </c>
      <c r="C56" s="63"/>
      <c r="D56" s="63"/>
    </row>
    <row r="57" spans="2:7" ht="31.5" x14ac:dyDescent="0.25">
      <c r="B57" s="17">
        <v>1</v>
      </c>
      <c r="C57" s="18" t="s">
        <v>14</v>
      </c>
      <c r="D57" s="19">
        <v>1</v>
      </c>
    </row>
    <row r="58" spans="2:7" ht="31.5" x14ac:dyDescent="0.25">
      <c r="B58" s="17">
        <v>2</v>
      </c>
      <c r="C58" s="18" t="s">
        <v>15</v>
      </c>
      <c r="D58" s="19">
        <v>1088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630</v>
      </c>
    </row>
    <row r="60" spans="2:7" ht="31.5" x14ac:dyDescent="0.25">
      <c r="B60" s="17">
        <v>4</v>
      </c>
      <c r="C60" s="18" t="s">
        <v>17</v>
      </c>
      <c r="D60" s="19">
        <v>0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74" t="s">
        <v>23</v>
      </c>
      <c r="C62" s="75"/>
      <c r="D62" s="36">
        <f>SUM(D57:D61)</f>
        <v>1719</v>
      </c>
      <c r="G62" s="22" t="s">
        <v>22</v>
      </c>
    </row>
    <row r="66" spans="7:13" x14ac:dyDescent="0.25">
      <c r="G66" s="73" t="s">
        <v>44</v>
      </c>
      <c r="H66" s="73"/>
      <c r="I66" s="73"/>
      <c r="J66" s="73"/>
      <c r="K66" s="73"/>
      <c r="L66" s="73"/>
      <c r="M66" s="73"/>
    </row>
    <row r="67" spans="7:13" x14ac:dyDescent="0.25">
      <c r="G67" s="73"/>
      <c r="H67" s="73"/>
      <c r="I67" s="73"/>
      <c r="J67" s="73"/>
      <c r="K67" s="73"/>
      <c r="L67" s="73"/>
      <c r="M67" s="73"/>
    </row>
  </sheetData>
  <mergeCells count="19">
    <mergeCell ref="G66:M67"/>
    <mergeCell ref="B62:C62"/>
    <mergeCell ref="B56:D56"/>
    <mergeCell ref="B7:D7"/>
    <mergeCell ref="B15:C15"/>
    <mergeCell ref="B31:C31"/>
    <mergeCell ref="B47:C47"/>
    <mergeCell ref="B41:D41"/>
    <mergeCell ref="G35:M36"/>
    <mergeCell ref="B26:D26"/>
    <mergeCell ref="B1:N1"/>
    <mergeCell ref="B2:N2"/>
    <mergeCell ref="B4:N4"/>
    <mergeCell ref="B22:C22"/>
    <mergeCell ref="B21:C21"/>
    <mergeCell ref="B18:C18"/>
    <mergeCell ref="B17:C17"/>
    <mergeCell ref="B19:C19"/>
    <mergeCell ref="B20:C20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7"/>
  <sheetViews>
    <sheetView workbookViewId="0">
      <selection activeCell="D5" sqref="D5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4.85546875" style="2" bestFit="1" customWidth="1"/>
    <col min="5" max="16384" width="11.42578125" style="2"/>
  </cols>
  <sheetData>
    <row r="1" spans="1:16" ht="133.5" customHeight="1" x14ac:dyDescent="0.25">
      <c r="A1" s="28"/>
      <c r="B1" s="64" t="s">
        <v>53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29"/>
      <c r="P1" s="1"/>
    </row>
    <row r="2" spans="1:16" ht="23.25" x14ac:dyDescent="0.35">
      <c r="A2" s="28"/>
      <c r="B2" s="65" t="s">
        <v>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28"/>
    </row>
    <row r="4" spans="1:16" ht="23.25" x14ac:dyDescent="0.35">
      <c r="B4" s="67" t="s">
        <v>52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</row>
    <row r="5" spans="1:16" ht="23.25" x14ac:dyDescent="0.35">
      <c r="B5" s="41"/>
      <c r="C5" s="41"/>
      <c r="D5" s="41"/>
      <c r="E5" s="41"/>
      <c r="F5" s="41"/>
      <c r="G5" s="21" t="s">
        <v>21</v>
      </c>
      <c r="H5" s="41"/>
      <c r="I5" s="41"/>
      <c r="J5" s="41"/>
      <c r="K5" s="41"/>
      <c r="L5" s="41"/>
      <c r="M5" s="41"/>
      <c r="N5" s="41"/>
    </row>
    <row r="6" spans="1:16" ht="23.25" x14ac:dyDescent="0.35">
      <c r="B6" s="20" t="s">
        <v>20</v>
      </c>
      <c r="E6" s="41"/>
      <c r="F6" s="41"/>
      <c r="G6" s="41"/>
      <c r="H6" s="41"/>
      <c r="I6" s="41"/>
      <c r="J6" s="41"/>
      <c r="K6" s="41"/>
      <c r="L6" s="41"/>
      <c r="M6" s="41"/>
      <c r="N6" s="41"/>
    </row>
    <row r="7" spans="1:16" ht="23.25" x14ac:dyDescent="0.35">
      <c r="B7" s="70" t="s">
        <v>8</v>
      </c>
      <c r="C7" s="70"/>
      <c r="D7" s="70"/>
      <c r="E7" s="41"/>
      <c r="F7" s="41"/>
      <c r="G7" s="41"/>
      <c r="H7" s="41"/>
      <c r="I7" s="41"/>
      <c r="J7" s="41"/>
      <c r="K7" s="41"/>
      <c r="L7" s="41"/>
      <c r="M7" s="41"/>
      <c r="N7" s="41"/>
    </row>
    <row r="8" spans="1:16" ht="23.25" x14ac:dyDescent="0.35">
      <c r="B8" s="40">
        <v>1</v>
      </c>
      <c r="C8" s="4" t="s">
        <v>1</v>
      </c>
      <c r="D8" s="19">
        <v>501</v>
      </c>
      <c r="E8" s="41"/>
      <c r="F8" s="41"/>
      <c r="G8" s="41"/>
      <c r="H8" s="41"/>
      <c r="I8" s="41"/>
      <c r="J8" s="41"/>
      <c r="K8" s="41"/>
      <c r="L8" s="41"/>
      <c r="M8" s="41"/>
      <c r="N8" s="41"/>
    </row>
    <row r="9" spans="1:16" ht="15.75" x14ac:dyDescent="0.25">
      <c r="B9" s="40">
        <v>2</v>
      </c>
      <c r="C9" s="5" t="s">
        <v>30</v>
      </c>
      <c r="D9" s="19">
        <v>508</v>
      </c>
    </row>
    <row r="10" spans="1:16" ht="15.75" x14ac:dyDescent="0.25">
      <c r="B10" s="40">
        <v>3</v>
      </c>
      <c r="C10" s="5" t="s">
        <v>2</v>
      </c>
      <c r="D10" s="19">
        <v>189</v>
      </c>
    </row>
    <row r="11" spans="1:16" ht="31.5" x14ac:dyDescent="0.25">
      <c r="B11" s="40">
        <v>4</v>
      </c>
      <c r="C11" s="4" t="s">
        <v>3</v>
      </c>
      <c r="D11" s="19">
        <v>22</v>
      </c>
    </row>
    <row r="12" spans="1:16" ht="15.75" x14ac:dyDescent="0.25">
      <c r="B12" s="40">
        <v>5</v>
      </c>
      <c r="C12" s="4" t="s">
        <v>4</v>
      </c>
      <c r="D12" s="19">
        <v>69</v>
      </c>
    </row>
    <row r="13" spans="1:16" ht="15.75" x14ac:dyDescent="0.25">
      <c r="B13" s="40">
        <v>6</v>
      </c>
      <c r="C13" s="4" t="s">
        <v>37</v>
      </c>
      <c r="D13" s="6">
        <v>0</v>
      </c>
    </row>
    <row r="14" spans="1:16" ht="15.75" x14ac:dyDescent="0.25">
      <c r="B14" s="40">
        <v>7</v>
      </c>
      <c r="C14" s="4" t="s">
        <v>38</v>
      </c>
      <c r="D14" s="19">
        <v>1</v>
      </c>
    </row>
    <row r="15" spans="1:16" ht="15.75" x14ac:dyDescent="0.25">
      <c r="B15" s="63" t="s">
        <v>23</v>
      </c>
      <c r="C15" s="63"/>
      <c r="D15" s="26">
        <f>SUM(D8:D12)</f>
        <v>1289</v>
      </c>
    </row>
    <row r="17" spans="2:7" ht="15.75" x14ac:dyDescent="0.25">
      <c r="B17" s="68" t="s">
        <v>34</v>
      </c>
      <c r="C17" s="69"/>
      <c r="D17" s="23">
        <v>1289</v>
      </c>
      <c r="G17" s="22" t="s">
        <v>45</v>
      </c>
    </row>
    <row r="18" spans="2:7" ht="15.75" x14ac:dyDescent="0.25">
      <c r="B18" s="68" t="s">
        <v>35</v>
      </c>
      <c r="C18" s="69"/>
      <c r="D18" s="23">
        <v>22</v>
      </c>
    </row>
    <row r="19" spans="2:7" ht="15.75" x14ac:dyDescent="0.25">
      <c r="B19" s="68" t="s">
        <v>39</v>
      </c>
      <c r="C19" s="69"/>
      <c r="D19" s="23">
        <v>69</v>
      </c>
    </row>
    <row r="20" spans="2:7" ht="15.75" x14ac:dyDescent="0.25">
      <c r="B20" s="68" t="s">
        <v>37</v>
      </c>
      <c r="C20" s="69"/>
      <c r="D20" s="23">
        <v>0</v>
      </c>
    </row>
    <row r="21" spans="2:7" ht="15.75" x14ac:dyDescent="0.25">
      <c r="B21" s="68" t="s">
        <v>38</v>
      </c>
      <c r="C21" s="69"/>
      <c r="D21" s="23">
        <v>1</v>
      </c>
      <c r="G21" s="21" t="s">
        <v>25</v>
      </c>
    </row>
    <row r="22" spans="2:7" ht="15.75" x14ac:dyDescent="0.25">
      <c r="B22" s="68" t="s">
        <v>36</v>
      </c>
      <c r="C22" s="69"/>
      <c r="D22" s="27">
        <f>(D17)-D18</f>
        <v>1267</v>
      </c>
    </row>
    <row r="25" spans="2:7" ht="15.75" x14ac:dyDescent="0.25">
      <c r="B25" s="20" t="s">
        <v>24</v>
      </c>
    </row>
    <row r="26" spans="2:7" ht="15.75" x14ac:dyDescent="0.25">
      <c r="B26" s="63" t="s">
        <v>9</v>
      </c>
      <c r="C26" s="63"/>
      <c r="D26" s="63"/>
    </row>
    <row r="27" spans="2:7" ht="15.75" x14ac:dyDescent="0.25">
      <c r="B27" s="39">
        <v>1</v>
      </c>
      <c r="C27" s="10" t="s">
        <v>5</v>
      </c>
      <c r="D27" s="11">
        <v>1</v>
      </c>
    </row>
    <row r="28" spans="2:7" ht="31.5" x14ac:dyDescent="0.25">
      <c r="B28" s="40">
        <v>2</v>
      </c>
      <c r="C28" s="12" t="s">
        <v>31</v>
      </c>
      <c r="D28" s="11">
        <v>962</v>
      </c>
    </row>
    <row r="29" spans="2:7" ht="15.75" x14ac:dyDescent="0.25">
      <c r="B29" s="39">
        <v>3</v>
      </c>
      <c r="C29" s="13" t="s">
        <v>6</v>
      </c>
      <c r="D29" s="14">
        <v>1</v>
      </c>
    </row>
    <row r="30" spans="2:7" ht="15.75" x14ac:dyDescent="0.25">
      <c r="B30" s="39">
        <v>4</v>
      </c>
      <c r="C30" s="10" t="s">
        <v>7</v>
      </c>
      <c r="D30" s="14">
        <v>45</v>
      </c>
    </row>
    <row r="31" spans="2:7" ht="15.75" x14ac:dyDescent="0.25">
      <c r="B31" s="71" t="s">
        <v>23</v>
      </c>
      <c r="C31" s="72"/>
      <c r="D31" s="40">
        <f>SUM(D27:D30)</f>
        <v>1009</v>
      </c>
    </row>
    <row r="35" spans="2:13" x14ac:dyDescent="0.25">
      <c r="G35" s="73" t="s">
        <v>44</v>
      </c>
      <c r="H35" s="73"/>
      <c r="I35" s="73"/>
      <c r="J35" s="73"/>
      <c r="K35" s="73"/>
      <c r="L35" s="73"/>
      <c r="M35" s="73"/>
    </row>
    <row r="36" spans="2:13" x14ac:dyDescent="0.25">
      <c r="G36" s="73"/>
      <c r="H36" s="73"/>
      <c r="I36" s="73"/>
      <c r="J36" s="73"/>
      <c r="K36" s="73"/>
      <c r="L36" s="73"/>
      <c r="M36" s="73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70" t="s">
        <v>19</v>
      </c>
      <c r="C41" s="70"/>
      <c r="D41" s="70"/>
    </row>
    <row r="42" spans="2:13" ht="15.75" x14ac:dyDescent="0.25">
      <c r="B42" s="39">
        <v>1</v>
      </c>
      <c r="C42" s="10" t="s">
        <v>10</v>
      </c>
      <c r="D42" s="11">
        <v>36</v>
      </c>
    </row>
    <row r="43" spans="2:13" ht="15.75" x14ac:dyDescent="0.25">
      <c r="B43" s="39">
        <v>2</v>
      </c>
      <c r="C43" s="10" t="s">
        <v>11</v>
      </c>
      <c r="D43" s="11">
        <v>1128</v>
      </c>
    </row>
    <row r="44" spans="2:13" ht="15.75" x14ac:dyDescent="0.25">
      <c r="B44" s="39">
        <v>3</v>
      </c>
      <c r="C44" s="10" t="s">
        <v>33</v>
      </c>
      <c r="D44" s="11">
        <v>0</v>
      </c>
    </row>
    <row r="45" spans="2:13" ht="15.75" x14ac:dyDescent="0.25">
      <c r="B45" s="39">
        <v>4</v>
      </c>
      <c r="C45" s="10" t="s">
        <v>32</v>
      </c>
      <c r="D45" s="11">
        <v>125</v>
      </c>
    </row>
    <row r="46" spans="2:13" ht="15.75" x14ac:dyDescent="0.25">
      <c r="B46" s="39">
        <v>5</v>
      </c>
      <c r="C46" s="10" t="s">
        <v>12</v>
      </c>
      <c r="D46" s="11">
        <v>0</v>
      </c>
    </row>
    <row r="47" spans="2:13" ht="15.75" x14ac:dyDescent="0.25">
      <c r="B47" s="63" t="s">
        <v>23</v>
      </c>
      <c r="C47" s="63"/>
      <c r="D47" s="7">
        <f>SUM(D42:D46)</f>
        <v>1289</v>
      </c>
    </row>
    <row r="55" spans="2:7" ht="15.75" customHeight="1" x14ac:dyDescent="0.25">
      <c r="B55" s="20" t="s">
        <v>28</v>
      </c>
      <c r="G55" s="22" t="s">
        <v>45</v>
      </c>
    </row>
    <row r="56" spans="2:7" ht="15.75" x14ac:dyDescent="0.25">
      <c r="B56" s="63" t="s">
        <v>13</v>
      </c>
      <c r="C56" s="63"/>
      <c r="D56" s="63"/>
    </row>
    <row r="57" spans="2:7" ht="31.5" x14ac:dyDescent="0.25">
      <c r="B57" s="17">
        <v>1</v>
      </c>
      <c r="C57" s="18" t="s">
        <v>14</v>
      </c>
      <c r="D57" s="19">
        <v>0</v>
      </c>
    </row>
    <row r="58" spans="2:7" ht="31.5" x14ac:dyDescent="0.25">
      <c r="B58" s="17">
        <v>2</v>
      </c>
      <c r="C58" s="18" t="s">
        <v>15</v>
      </c>
      <c r="D58" s="19">
        <v>514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493</v>
      </c>
    </row>
    <row r="60" spans="2:7" ht="31.5" x14ac:dyDescent="0.25">
      <c r="B60" s="17">
        <v>4</v>
      </c>
      <c r="C60" s="18" t="s">
        <v>17</v>
      </c>
      <c r="D60" s="19">
        <v>2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74" t="s">
        <v>23</v>
      </c>
      <c r="C62" s="75"/>
      <c r="D62" s="39">
        <f>SUM(D57:D61)</f>
        <v>1009</v>
      </c>
      <c r="G62" s="22" t="s">
        <v>22</v>
      </c>
    </row>
    <row r="66" spans="7:13" x14ac:dyDescent="0.25">
      <c r="G66" s="73" t="s">
        <v>44</v>
      </c>
      <c r="H66" s="73"/>
      <c r="I66" s="73"/>
      <c r="J66" s="73"/>
      <c r="K66" s="73"/>
      <c r="L66" s="73"/>
      <c r="M66" s="73"/>
    </row>
    <row r="67" spans="7:13" x14ac:dyDescent="0.25">
      <c r="G67" s="73"/>
      <c r="H67" s="73"/>
      <c r="I67" s="73"/>
      <c r="J67" s="73"/>
      <c r="K67" s="73"/>
      <c r="L67" s="73"/>
      <c r="M67" s="73"/>
    </row>
  </sheetData>
  <mergeCells count="19">
    <mergeCell ref="G66:M67"/>
    <mergeCell ref="B62:C62"/>
    <mergeCell ref="B56:D56"/>
    <mergeCell ref="B7:D7"/>
    <mergeCell ref="B15:C15"/>
    <mergeCell ref="B31:C31"/>
    <mergeCell ref="B47:C47"/>
    <mergeCell ref="B41:D41"/>
    <mergeCell ref="G35:M36"/>
    <mergeCell ref="B26:D26"/>
    <mergeCell ref="B1:N1"/>
    <mergeCell ref="B2:N2"/>
    <mergeCell ref="B4:N4"/>
    <mergeCell ref="B22:C22"/>
    <mergeCell ref="B21:C21"/>
    <mergeCell ref="B18:C18"/>
    <mergeCell ref="B17:C17"/>
    <mergeCell ref="B19:C19"/>
    <mergeCell ref="B20:C20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7"/>
  <sheetViews>
    <sheetView workbookViewId="0">
      <selection activeCell="E10" sqref="E10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4.85546875" style="2" bestFit="1" customWidth="1"/>
    <col min="5" max="16384" width="11.42578125" style="2"/>
  </cols>
  <sheetData>
    <row r="1" spans="1:16" ht="133.5" customHeight="1" x14ac:dyDescent="0.25">
      <c r="A1" s="28"/>
      <c r="B1" s="64" t="s">
        <v>55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29"/>
      <c r="P1" s="1"/>
    </row>
    <row r="2" spans="1:16" ht="23.25" x14ac:dyDescent="0.35">
      <c r="A2" s="28"/>
      <c r="B2" s="65" t="s">
        <v>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28"/>
    </row>
    <row r="4" spans="1:16" ht="23.25" x14ac:dyDescent="0.35">
      <c r="B4" s="67" t="s">
        <v>54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</row>
    <row r="5" spans="1:16" ht="23.25" x14ac:dyDescent="0.35">
      <c r="B5" s="44"/>
      <c r="C5" s="44"/>
      <c r="D5" s="44"/>
      <c r="E5" s="44"/>
      <c r="F5" s="44"/>
      <c r="G5" s="21" t="s">
        <v>21</v>
      </c>
      <c r="H5" s="44"/>
      <c r="I5" s="44"/>
      <c r="J5" s="44"/>
      <c r="K5" s="44"/>
      <c r="L5" s="44"/>
      <c r="M5" s="44"/>
      <c r="N5" s="44"/>
    </row>
    <row r="6" spans="1:16" ht="23.25" x14ac:dyDescent="0.35">
      <c r="B6" s="20" t="s">
        <v>20</v>
      </c>
      <c r="E6" s="44"/>
      <c r="F6" s="44"/>
      <c r="G6" s="44"/>
      <c r="H6" s="44"/>
      <c r="I6" s="44"/>
      <c r="J6" s="44"/>
      <c r="K6" s="44"/>
      <c r="L6" s="44"/>
      <c r="M6" s="44"/>
      <c r="N6" s="44"/>
    </row>
    <row r="7" spans="1:16" ht="23.25" x14ac:dyDescent="0.35">
      <c r="B7" s="70" t="s">
        <v>8</v>
      </c>
      <c r="C7" s="70"/>
      <c r="D7" s="70"/>
      <c r="E7" s="44"/>
      <c r="F7" s="44"/>
      <c r="G7" s="44"/>
      <c r="H7" s="44"/>
      <c r="I7" s="44"/>
      <c r="J7" s="44"/>
      <c r="K7" s="44"/>
      <c r="L7" s="44"/>
      <c r="M7" s="44"/>
      <c r="N7" s="44"/>
    </row>
    <row r="8" spans="1:16" ht="23.25" x14ac:dyDescent="0.35">
      <c r="B8" s="43">
        <v>1</v>
      </c>
      <c r="C8" s="4" t="s">
        <v>1</v>
      </c>
      <c r="D8" s="19">
        <v>628</v>
      </c>
      <c r="E8" s="44"/>
      <c r="F8" s="44"/>
      <c r="G8" s="44"/>
      <c r="H8" s="44"/>
      <c r="I8" s="44"/>
      <c r="J8" s="44"/>
      <c r="K8" s="44"/>
      <c r="L8" s="44"/>
      <c r="M8" s="44"/>
      <c r="N8" s="44"/>
    </row>
    <row r="9" spans="1:16" ht="15.75" x14ac:dyDescent="0.25">
      <c r="B9" s="43">
        <v>2</v>
      </c>
      <c r="C9" s="5" t="s">
        <v>30</v>
      </c>
      <c r="D9" s="19">
        <v>624</v>
      </c>
    </row>
    <row r="10" spans="1:16" ht="15.75" x14ac:dyDescent="0.25">
      <c r="B10" s="43">
        <v>3</v>
      </c>
      <c r="C10" s="5" t="s">
        <v>2</v>
      </c>
      <c r="D10" s="19">
        <v>194</v>
      </c>
    </row>
    <row r="11" spans="1:16" ht="31.5" x14ac:dyDescent="0.25">
      <c r="B11" s="43">
        <v>4</v>
      </c>
      <c r="C11" s="4" t="s">
        <v>3</v>
      </c>
      <c r="D11" s="19">
        <v>37</v>
      </c>
    </row>
    <row r="12" spans="1:16" ht="15.75" x14ac:dyDescent="0.25">
      <c r="B12" s="43">
        <v>5</v>
      </c>
      <c r="C12" s="4" t="s">
        <v>4</v>
      </c>
      <c r="D12" s="19">
        <v>37</v>
      </c>
    </row>
    <row r="13" spans="1:16" ht="15.75" x14ac:dyDescent="0.25">
      <c r="B13" s="43">
        <v>6</v>
      </c>
      <c r="C13" s="4" t="s">
        <v>37</v>
      </c>
      <c r="D13" s="6">
        <v>0</v>
      </c>
    </row>
    <row r="14" spans="1:16" ht="15.75" x14ac:dyDescent="0.25">
      <c r="B14" s="43">
        <v>7</v>
      </c>
      <c r="C14" s="4" t="s">
        <v>38</v>
      </c>
      <c r="D14" s="19">
        <v>1</v>
      </c>
    </row>
    <row r="15" spans="1:16" ht="15.75" x14ac:dyDescent="0.25">
      <c r="B15" s="63" t="s">
        <v>23</v>
      </c>
      <c r="C15" s="63"/>
      <c r="D15" s="26">
        <f>SUM(D8:D12)</f>
        <v>1520</v>
      </c>
    </row>
    <row r="17" spans="2:7" ht="15.75" x14ac:dyDescent="0.25">
      <c r="B17" s="68" t="s">
        <v>34</v>
      </c>
      <c r="C17" s="69"/>
      <c r="D17" s="23">
        <v>1520</v>
      </c>
      <c r="G17" s="22" t="s">
        <v>45</v>
      </c>
    </row>
    <row r="18" spans="2:7" ht="15.75" x14ac:dyDescent="0.25">
      <c r="B18" s="68" t="s">
        <v>35</v>
      </c>
      <c r="C18" s="69"/>
      <c r="D18" s="23">
        <v>37</v>
      </c>
    </row>
    <row r="19" spans="2:7" ht="15.75" x14ac:dyDescent="0.25">
      <c r="B19" s="68" t="s">
        <v>39</v>
      </c>
      <c r="C19" s="69"/>
      <c r="D19" s="23">
        <v>37</v>
      </c>
    </row>
    <row r="20" spans="2:7" ht="15.75" x14ac:dyDescent="0.25">
      <c r="B20" s="68" t="s">
        <v>37</v>
      </c>
      <c r="C20" s="69"/>
      <c r="D20" s="23">
        <v>0</v>
      </c>
    </row>
    <row r="21" spans="2:7" ht="15.75" x14ac:dyDescent="0.25">
      <c r="B21" s="68" t="s">
        <v>38</v>
      </c>
      <c r="C21" s="69"/>
      <c r="D21" s="23">
        <v>1</v>
      </c>
      <c r="G21" s="21" t="s">
        <v>25</v>
      </c>
    </row>
    <row r="22" spans="2:7" ht="15.75" x14ac:dyDescent="0.25">
      <c r="B22" s="68" t="s">
        <v>36</v>
      </c>
      <c r="C22" s="69"/>
      <c r="D22" s="27">
        <f>(D17)-D18</f>
        <v>1483</v>
      </c>
    </row>
    <row r="25" spans="2:7" ht="15.75" x14ac:dyDescent="0.25">
      <c r="B25" s="20" t="s">
        <v>24</v>
      </c>
    </row>
    <row r="26" spans="2:7" ht="15.75" x14ac:dyDescent="0.25">
      <c r="B26" s="63" t="s">
        <v>9</v>
      </c>
      <c r="C26" s="63"/>
      <c r="D26" s="63"/>
    </row>
    <row r="27" spans="2:7" ht="15.75" x14ac:dyDescent="0.25">
      <c r="B27" s="42">
        <v>1</v>
      </c>
      <c r="C27" s="10" t="s">
        <v>5</v>
      </c>
      <c r="D27" s="11">
        <v>0</v>
      </c>
    </row>
    <row r="28" spans="2:7" ht="31.5" x14ac:dyDescent="0.25">
      <c r="B28" s="43">
        <v>2</v>
      </c>
      <c r="C28" s="12" t="s">
        <v>31</v>
      </c>
      <c r="D28" s="11">
        <v>1229</v>
      </c>
    </row>
    <row r="29" spans="2:7" ht="15.75" x14ac:dyDescent="0.25">
      <c r="B29" s="42">
        <v>3</v>
      </c>
      <c r="C29" s="13" t="s">
        <v>6</v>
      </c>
      <c r="D29" s="14">
        <v>0</v>
      </c>
    </row>
    <row r="30" spans="2:7" ht="15.75" x14ac:dyDescent="0.25">
      <c r="B30" s="42">
        <v>4</v>
      </c>
      <c r="C30" s="10" t="s">
        <v>7</v>
      </c>
      <c r="D30" s="14">
        <v>23</v>
      </c>
    </row>
    <row r="31" spans="2:7" ht="15.75" x14ac:dyDescent="0.25">
      <c r="B31" s="71" t="s">
        <v>23</v>
      </c>
      <c r="C31" s="72"/>
      <c r="D31" s="43">
        <f>SUM(D27:D30)</f>
        <v>1252</v>
      </c>
    </row>
    <row r="35" spans="2:13" x14ac:dyDescent="0.25">
      <c r="G35" s="73" t="s">
        <v>44</v>
      </c>
      <c r="H35" s="73"/>
      <c r="I35" s="73"/>
      <c r="J35" s="73"/>
      <c r="K35" s="73"/>
      <c r="L35" s="73"/>
      <c r="M35" s="73"/>
    </row>
    <row r="36" spans="2:13" x14ac:dyDescent="0.25">
      <c r="G36" s="73"/>
      <c r="H36" s="73"/>
      <c r="I36" s="73"/>
      <c r="J36" s="73"/>
      <c r="K36" s="73"/>
      <c r="L36" s="73"/>
      <c r="M36" s="73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70" t="s">
        <v>19</v>
      </c>
      <c r="C41" s="70"/>
      <c r="D41" s="70"/>
    </row>
    <row r="42" spans="2:13" ht="15.75" x14ac:dyDescent="0.25">
      <c r="B42" s="42">
        <v>1</v>
      </c>
      <c r="C42" s="10" t="s">
        <v>10</v>
      </c>
      <c r="D42" s="11">
        <v>26</v>
      </c>
    </row>
    <row r="43" spans="2:13" ht="15.75" x14ac:dyDescent="0.25">
      <c r="B43" s="42">
        <v>2</v>
      </c>
      <c r="C43" s="10" t="s">
        <v>11</v>
      </c>
      <c r="D43" s="11">
        <v>1392</v>
      </c>
    </row>
    <row r="44" spans="2:13" ht="15.75" x14ac:dyDescent="0.25">
      <c r="B44" s="42">
        <v>3</v>
      </c>
      <c r="C44" s="10" t="s">
        <v>33</v>
      </c>
      <c r="D44" s="11">
        <v>0</v>
      </c>
    </row>
    <row r="45" spans="2:13" ht="15.75" x14ac:dyDescent="0.25">
      <c r="B45" s="42">
        <v>4</v>
      </c>
      <c r="C45" s="10" t="s">
        <v>32</v>
      </c>
      <c r="D45" s="11">
        <v>102</v>
      </c>
    </row>
    <row r="46" spans="2:13" ht="15.75" x14ac:dyDescent="0.25">
      <c r="B46" s="42">
        <v>5</v>
      </c>
      <c r="C46" s="10" t="s">
        <v>12</v>
      </c>
      <c r="D46" s="11">
        <v>0</v>
      </c>
    </row>
    <row r="47" spans="2:13" ht="15.75" x14ac:dyDescent="0.25">
      <c r="B47" s="63" t="s">
        <v>23</v>
      </c>
      <c r="C47" s="63"/>
      <c r="D47" s="7">
        <f>SUM(D42:D46)</f>
        <v>1520</v>
      </c>
    </row>
    <row r="55" spans="2:7" ht="15.75" customHeight="1" x14ac:dyDescent="0.25">
      <c r="B55" s="20" t="s">
        <v>28</v>
      </c>
      <c r="G55" s="22" t="s">
        <v>45</v>
      </c>
    </row>
    <row r="56" spans="2:7" ht="15.75" x14ac:dyDescent="0.25">
      <c r="B56" s="63" t="s">
        <v>13</v>
      </c>
      <c r="C56" s="63"/>
      <c r="D56" s="63"/>
    </row>
    <row r="57" spans="2:7" ht="31.5" x14ac:dyDescent="0.25">
      <c r="B57" s="17">
        <v>1</v>
      </c>
      <c r="C57" s="18" t="s">
        <v>14</v>
      </c>
      <c r="D57" s="19">
        <v>0</v>
      </c>
    </row>
    <row r="58" spans="2:7" ht="31.5" x14ac:dyDescent="0.25">
      <c r="B58" s="17">
        <v>2</v>
      </c>
      <c r="C58" s="18" t="s">
        <v>15</v>
      </c>
      <c r="D58" s="19">
        <v>679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573</v>
      </c>
    </row>
    <row r="60" spans="2:7" ht="31.5" x14ac:dyDescent="0.25">
      <c r="B60" s="17">
        <v>4</v>
      </c>
      <c r="C60" s="18" t="s">
        <v>17</v>
      </c>
      <c r="D60" s="19">
        <v>0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74" t="s">
        <v>23</v>
      </c>
      <c r="C62" s="75"/>
      <c r="D62" s="42">
        <f>SUM(D57:D61)</f>
        <v>1252</v>
      </c>
      <c r="G62" s="22" t="s">
        <v>22</v>
      </c>
    </row>
    <row r="66" spans="7:13" x14ac:dyDescent="0.25">
      <c r="G66" s="73" t="s">
        <v>44</v>
      </c>
      <c r="H66" s="73"/>
      <c r="I66" s="73"/>
      <c r="J66" s="73"/>
      <c r="K66" s="73"/>
      <c r="L66" s="73"/>
      <c r="M66" s="73"/>
    </row>
    <row r="67" spans="7:13" x14ac:dyDescent="0.25">
      <c r="G67" s="73"/>
      <c r="H67" s="73"/>
      <c r="I67" s="73"/>
      <c r="J67" s="73"/>
      <c r="K67" s="73"/>
      <c r="L67" s="73"/>
      <c r="M67" s="73"/>
    </row>
  </sheetData>
  <mergeCells count="19">
    <mergeCell ref="B7:D7"/>
    <mergeCell ref="B15:C15"/>
    <mergeCell ref="B26:D26"/>
    <mergeCell ref="B1:N1"/>
    <mergeCell ref="B2:N2"/>
    <mergeCell ref="B4:N4"/>
    <mergeCell ref="B22:C22"/>
    <mergeCell ref="B21:C21"/>
    <mergeCell ref="B18:C18"/>
    <mergeCell ref="B17:C17"/>
    <mergeCell ref="B19:C19"/>
    <mergeCell ref="B20:C20"/>
    <mergeCell ref="B31:C31"/>
    <mergeCell ref="B47:C47"/>
    <mergeCell ref="B41:D41"/>
    <mergeCell ref="G35:M36"/>
    <mergeCell ref="G66:M67"/>
    <mergeCell ref="B62:C62"/>
    <mergeCell ref="B56:D56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7"/>
  <sheetViews>
    <sheetView workbookViewId="0">
      <selection activeCell="E26" sqref="E26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4.85546875" style="2" bestFit="1" customWidth="1"/>
    <col min="5" max="16384" width="11.42578125" style="2"/>
  </cols>
  <sheetData>
    <row r="1" spans="1:16" ht="133.5" customHeight="1" x14ac:dyDescent="0.25">
      <c r="A1" s="28"/>
      <c r="B1" s="64" t="s">
        <v>57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29"/>
      <c r="P1" s="1"/>
    </row>
    <row r="2" spans="1:16" ht="23.25" x14ac:dyDescent="0.35">
      <c r="A2" s="28"/>
      <c r="B2" s="65" t="s">
        <v>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28"/>
    </row>
    <row r="4" spans="1:16" ht="23.25" x14ac:dyDescent="0.35">
      <c r="B4" s="67" t="s">
        <v>56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</row>
    <row r="5" spans="1:16" ht="23.25" x14ac:dyDescent="0.35">
      <c r="B5" s="46"/>
      <c r="C5" s="46"/>
      <c r="D5" s="46"/>
      <c r="E5" s="46"/>
      <c r="F5" s="46"/>
      <c r="G5" s="21" t="s">
        <v>21</v>
      </c>
      <c r="H5" s="46"/>
      <c r="I5" s="46"/>
      <c r="J5" s="46"/>
      <c r="K5" s="46"/>
      <c r="L5" s="46"/>
      <c r="M5" s="46"/>
      <c r="N5" s="46"/>
    </row>
    <row r="6" spans="1:16" ht="23.25" x14ac:dyDescent="0.35">
      <c r="B6" s="20" t="s">
        <v>20</v>
      </c>
      <c r="E6" s="46"/>
      <c r="F6" s="46"/>
      <c r="G6" s="46"/>
      <c r="H6" s="46"/>
      <c r="I6" s="46"/>
      <c r="J6" s="46"/>
      <c r="K6" s="46"/>
      <c r="L6" s="46"/>
      <c r="M6" s="46"/>
      <c r="N6" s="46"/>
    </row>
    <row r="7" spans="1:16" ht="23.25" x14ac:dyDescent="0.35">
      <c r="B7" s="70" t="s">
        <v>8</v>
      </c>
      <c r="C7" s="70"/>
      <c r="D7" s="70"/>
      <c r="E7" s="46"/>
      <c r="F7" s="46"/>
      <c r="G7" s="46"/>
      <c r="H7" s="46"/>
      <c r="I7" s="46"/>
      <c r="J7" s="46"/>
      <c r="K7" s="46"/>
      <c r="L7" s="46"/>
      <c r="M7" s="46"/>
      <c r="N7" s="46"/>
    </row>
    <row r="8" spans="1:16" ht="23.25" x14ac:dyDescent="0.35">
      <c r="B8" s="47">
        <v>1</v>
      </c>
      <c r="C8" s="4" t="s">
        <v>1</v>
      </c>
      <c r="D8" s="19">
        <v>392</v>
      </c>
      <c r="E8" s="46"/>
      <c r="F8" s="46"/>
      <c r="G8" s="46"/>
      <c r="H8" s="46"/>
      <c r="I8" s="46"/>
      <c r="J8" s="46"/>
      <c r="K8" s="46"/>
      <c r="L8" s="46"/>
      <c r="M8" s="46"/>
      <c r="N8" s="46"/>
    </row>
    <row r="9" spans="1:16" ht="15.75" x14ac:dyDescent="0.25">
      <c r="B9" s="47">
        <v>2</v>
      </c>
      <c r="C9" s="5" t="s">
        <v>30</v>
      </c>
      <c r="D9" s="19">
        <v>396</v>
      </c>
    </row>
    <row r="10" spans="1:16" ht="15.75" x14ac:dyDescent="0.25">
      <c r="B10" s="47">
        <v>3</v>
      </c>
      <c r="C10" s="5" t="s">
        <v>2</v>
      </c>
      <c r="D10" s="19">
        <v>125</v>
      </c>
    </row>
    <row r="11" spans="1:16" ht="31.5" x14ac:dyDescent="0.25">
      <c r="B11" s="47">
        <v>4</v>
      </c>
      <c r="C11" s="4" t="s">
        <v>3</v>
      </c>
      <c r="D11" s="19">
        <v>12</v>
      </c>
    </row>
    <row r="12" spans="1:16" ht="15.75" x14ac:dyDescent="0.25">
      <c r="B12" s="47">
        <v>5</v>
      </c>
      <c r="C12" s="4" t="s">
        <v>4</v>
      </c>
      <c r="D12" s="19">
        <v>16</v>
      </c>
    </row>
    <row r="13" spans="1:16" ht="15.75" x14ac:dyDescent="0.25">
      <c r="B13" s="47">
        <v>6</v>
      </c>
      <c r="C13" s="4" t="s">
        <v>37</v>
      </c>
      <c r="D13" s="6">
        <v>0</v>
      </c>
    </row>
    <row r="14" spans="1:16" ht="15.75" x14ac:dyDescent="0.25">
      <c r="B14" s="47">
        <v>7</v>
      </c>
      <c r="C14" s="4" t="s">
        <v>38</v>
      </c>
      <c r="D14" s="19">
        <v>0</v>
      </c>
    </row>
    <row r="15" spans="1:16" ht="15.75" x14ac:dyDescent="0.25">
      <c r="B15" s="63" t="s">
        <v>23</v>
      </c>
      <c r="C15" s="63"/>
      <c r="D15" s="26">
        <f>SUM(D8:D12)</f>
        <v>941</v>
      </c>
    </row>
    <row r="17" spans="2:7" ht="15.75" x14ac:dyDescent="0.25">
      <c r="B17" s="68" t="s">
        <v>34</v>
      </c>
      <c r="C17" s="69"/>
      <c r="D17" s="23">
        <v>941</v>
      </c>
      <c r="G17" s="22" t="s">
        <v>45</v>
      </c>
    </row>
    <row r="18" spans="2:7" ht="15.75" x14ac:dyDescent="0.25">
      <c r="B18" s="68" t="s">
        <v>35</v>
      </c>
      <c r="C18" s="69"/>
      <c r="D18" s="23">
        <v>12</v>
      </c>
    </row>
    <row r="19" spans="2:7" ht="15.75" x14ac:dyDescent="0.25">
      <c r="B19" s="68" t="s">
        <v>39</v>
      </c>
      <c r="C19" s="69"/>
      <c r="D19" s="23">
        <v>16</v>
      </c>
    </row>
    <row r="20" spans="2:7" ht="15.75" x14ac:dyDescent="0.25">
      <c r="B20" s="68" t="s">
        <v>37</v>
      </c>
      <c r="C20" s="69"/>
      <c r="D20" s="23">
        <v>0</v>
      </c>
    </row>
    <row r="21" spans="2:7" ht="15.75" x14ac:dyDescent="0.25">
      <c r="B21" s="68" t="s">
        <v>38</v>
      </c>
      <c r="C21" s="69"/>
      <c r="D21" s="23">
        <v>1</v>
      </c>
      <c r="G21" s="21" t="s">
        <v>25</v>
      </c>
    </row>
    <row r="22" spans="2:7" ht="15.75" x14ac:dyDescent="0.25">
      <c r="B22" s="68" t="s">
        <v>36</v>
      </c>
      <c r="C22" s="69"/>
      <c r="D22" s="27">
        <f>(D17)-D18</f>
        <v>929</v>
      </c>
    </row>
    <row r="25" spans="2:7" ht="15.75" x14ac:dyDescent="0.25">
      <c r="B25" s="20" t="s">
        <v>24</v>
      </c>
    </row>
    <row r="26" spans="2:7" ht="15.75" x14ac:dyDescent="0.25">
      <c r="B26" s="63" t="s">
        <v>9</v>
      </c>
      <c r="C26" s="63"/>
      <c r="D26" s="63"/>
    </row>
    <row r="27" spans="2:7" ht="15.75" x14ac:dyDescent="0.25">
      <c r="B27" s="45">
        <v>1</v>
      </c>
      <c r="C27" s="10" t="s">
        <v>5</v>
      </c>
      <c r="D27" s="11">
        <v>20</v>
      </c>
    </row>
    <row r="28" spans="2:7" ht="31.5" x14ac:dyDescent="0.25">
      <c r="B28" s="47">
        <v>2</v>
      </c>
      <c r="C28" s="12" t="s">
        <v>31</v>
      </c>
      <c r="D28" s="11">
        <v>743</v>
      </c>
    </row>
    <row r="29" spans="2:7" ht="15.75" x14ac:dyDescent="0.25">
      <c r="B29" s="45">
        <v>3</v>
      </c>
      <c r="C29" s="13" t="s">
        <v>6</v>
      </c>
      <c r="D29" s="14">
        <v>2</v>
      </c>
    </row>
    <row r="30" spans="2:7" ht="15.75" x14ac:dyDescent="0.25">
      <c r="B30" s="45">
        <v>4</v>
      </c>
      <c r="C30" s="10" t="s">
        <v>7</v>
      </c>
      <c r="D30" s="14">
        <v>23</v>
      </c>
    </row>
    <row r="31" spans="2:7" ht="15.75" x14ac:dyDescent="0.25">
      <c r="B31" s="71" t="s">
        <v>23</v>
      </c>
      <c r="C31" s="72"/>
      <c r="D31" s="47">
        <f>SUM(D27:D30)</f>
        <v>788</v>
      </c>
    </row>
    <row r="35" spans="2:13" x14ac:dyDescent="0.25">
      <c r="G35" s="73" t="s">
        <v>44</v>
      </c>
      <c r="H35" s="73"/>
      <c r="I35" s="73"/>
      <c r="J35" s="73"/>
      <c r="K35" s="73"/>
      <c r="L35" s="73"/>
      <c r="M35" s="73"/>
    </row>
    <row r="36" spans="2:13" x14ac:dyDescent="0.25">
      <c r="G36" s="73"/>
      <c r="H36" s="73"/>
      <c r="I36" s="73"/>
      <c r="J36" s="73"/>
      <c r="K36" s="73"/>
      <c r="L36" s="73"/>
      <c r="M36" s="73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70" t="s">
        <v>19</v>
      </c>
      <c r="C41" s="70"/>
      <c r="D41" s="70"/>
    </row>
    <row r="42" spans="2:13" ht="15.75" x14ac:dyDescent="0.25">
      <c r="B42" s="45">
        <v>1</v>
      </c>
      <c r="C42" s="10" t="s">
        <v>10</v>
      </c>
      <c r="D42" s="11">
        <v>35</v>
      </c>
    </row>
    <row r="43" spans="2:13" ht="15.75" x14ac:dyDescent="0.25">
      <c r="B43" s="45">
        <v>2</v>
      </c>
      <c r="C43" s="10" t="s">
        <v>11</v>
      </c>
      <c r="D43" s="11">
        <v>828</v>
      </c>
    </row>
    <row r="44" spans="2:13" ht="15.75" x14ac:dyDescent="0.25">
      <c r="B44" s="45">
        <v>3</v>
      </c>
      <c r="C44" s="10" t="s">
        <v>33</v>
      </c>
      <c r="D44" s="11">
        <v>0</v>
      </c>
    </row>
    <row r="45" spans="2:13" ht="15.75" x14ac:dyDescent="0.25">
      <c r="B45" s="45">
        <v>4</v>
      </c>
      <c r="C45" s="10" t="s">
        <v>32</v>
      </c>
      <c r="D45" s="11">
        <v>78</v>
      </c>
    </row>
    <row r="46" spans="2:13" ht="15.75" x14ac:dyDescent="0.25">
      <c r="B46" s="45">
        <v>5</v>
      </c>
      <c r="C46" s="10" t="s">
        <v>12</v>
      </c>
      <c r="D46" s="11">
        <v>0</v>
      </c>
    </row>
    <row r="47" spans="2:13" ht="15.75" x14ac:dyDescent="0.25">
      <c r="B47" s="63" t="s">
        <v>23</v>
      </c>
      <c r="C47" s="63"/>
      <c r="D47" s="7">
        <f>SUM(D42:D46)</f>
        <v>941</v>
      </c>
    </row>
    <row r="55" spans="2:7" ht="15.75" customHeight="1" x14ac:dyDescent="0.25">
      <c r="B55" s="20" t="s">
        <v>28</v>
      </c>
      <c r="G55" s="22" t="s">
        <v>45</v>
      </c>
    </row>
    <row r="56" spans="2:7" ht="15.75" x14ac:dyDescent="0.25">
      <c r="B56" s="63" t="s">
        <v>13</v>
      </c>
      <c r="C56" s="63"/>
      <c r="D56" s="63"/>
    </row>
    <row r="57" spans="2:7" ht="31.5" x14ac:dyDescent="0.25">
      <c r="B57" s="17">
        <v>1</v>
      </c>
      <c r="C57" s="18" t="s">
        <v>14</v>
      </c>
      <c r="D57" s="19">
        <v>19</v>
      </c>
    </row>
    <row r="58" spans="2:7" ht="31.5" x14ac:dyDescent="0.25">
      <c r="B58" s="17">
        <v>2</v>
      </c>
      <c r="C58" s="18" t="s">
        <v>15</v>
      </c>
      <c r="D58" s="19">
        <v>769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376</v>
      </c>
    </row>
    <row r="60" spans="2:7" ht="31.5" x14ac:dyDescent="0.25">
      <c r="B60" s="17">
        <v>4</v>
      </c>
      <c r="C60" s="18" t="s">
        <v>17</v>
      </c>
      <c r="D60" s="19">
        <v>0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74" t="s">
        <v>23</v>
      </c>
      <c r="C62" s="75"/>
      <c r="D62" s="45">
        <f>SUM(D57:D61)</f>
        <v>1164</v>
      </c>
      <c r="G62" s="22" t="s">
        <v>22</v>
      </c>
    </row>
    <row r="66" spans="7:13" x14ac:dyDescent="0.25">
      <c r="G66" s="73" t="s">
        <v>44</v>
      </c>
      <c r="H66" s="73"/>
      <c r="I66" s="73"/>
      <c r="J66" s="73"/>
      <c r="K66" s="73"/>
      <c r="L66" s="73"/>
      <c r="M66" s="73"/>
    </row>
    <row r="67" spans="7:13" x14ac:dyDescent="0.25">
      <c r="G67" s="73"/>
      <c r="H67" s="73"/>
      <c r="I67" s="73"/>
      <c r="J67" s="73"/>
      <c r="K67" s="73"/>
      <c r="L67" s="73"/>
      <c r="M67" s="73"/>
    </row>
  </sheetData>
  <mergeCells count="19">
    <mergeCell ref="B1:N1"/>
    <mergeCell ref="B2:N2"/>
    <mergeCell ref="B4:N4"/>
    <mergeCell ref="B22:C22"/>
    <mergeCell ref="B21:C21"/>
    <mergeCell ref="B18:C18"/>
    <mergeCell ref="B17:C17"/>
    <mergeCell ref="B19:C19"/>
    <mergeCell ref="B20:C20"/>
    <mergeCell ref="G66:M67"/>
    <mergeCell ref="B62:C62"/>
    <mergeCell ref="B56:D56"/>
    <mergeCell ref="B7:D7"/>
    <mergeCell ref="B15:C15"/>
    <mergeCell ref="B31:C31"/>
    <mergeCell ref="B47:C47"/>
    <mergeCell ref="B41:D41"/>
    <mergeCell ref="G35:M36"/>
    <mergeCell ref="B26:D26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7"/>
  <sheetViews>
    <sheetView workbookViewId="0">
      <selection activeCell="E62" sqref="E62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4.85546875" style="2" bestFit="1" customWidth="1"/>
    <col min="5" max="16384" width="11.42578125" style="2"/>
  </cols>
  <sheetData>
    <row r="1" spans="1:16" ht="133.5" customHeight="1" x14ac:dyDescent="0.25">
      <c r="A1" s="28"/>
      <c r="B1" s="64" t="s">
        <v>59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29"/>
      <c r="P1" s="1"/>
    </row>
    <row r="2" spans="1:16" ht="23.25" x14ac:dyDescent="0.35">
      <c r="A2" s="28"/>
      <c r="B2" s="65" t="s">
        <v>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28"/>
    </row>
    <row r="4" spans="1:16" ht="23.25" x14ac:dyDescent="0.35">
      <c r="B4" s="67" t="s">
        <v>58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</row>
    <row r="5" spans="1:16" ht="23.25" x14ac:dyDescent="0.35">
      <c r="B5" s="50"/>
      <c r="C5" s="50"/>
      <c r="D5" s="50"/>
      <c r="E5" s="50"/>
      <c r="F5" s="50"/>
      <c r="G5" s="21" t="s">
        <v>21</v>
      </c>
      <c r="H5" s="50"/>
      <c r="I5" s="50"/>
      <c r="J5" s="50"/>
      <c r="K5" s="50"/>
      <c r="L5" s="50"/>
      <c r="M5" s="50"/>
      <c r="N5" s="50"/>
    </row>
    <row r="6" spans="1:16" ht="23.25" x14ac:dyDescent="0.35">
      <c r="B6" s="20" t="s">
        <v>20</v>
      </c>
      <c r="E6" s="50"/>
      <c r="F6" s="50"/>
      <c r="G6" s="50"/>
      <c r="H6" s="50"/>
      <c r="I6" s="50"/>
      <c r="J6" s="50"/>
      <c r="K6" s="50"/>
      <c r="L6" s="50"/>
      <c r="M6" s="50"/>
      <c r="N6" s="50"/>
    </row>
    <row r="7" spans="1:16" ht="23.25" x14ac:dyDescent="0.35">
      <c r="B7" s="70" t="s">
        <v>8</v>
      </c>
      <c r="C7" s="70"/>
      <c r="D7" s="70"/>
      <c r="E7" s="50"/>
      <c r="F7" s="50"/>
      <c r="G7" s="50"/>
      <c r="H7" s="50"/>
      <c r="I7" s="50"/>
      <c r="J7" s="50"/>
      <c r="K7" s="50"/>
      <c r="L7" s="50"/>
      <c r="M7" s="50"/>
      <c r="N7" s="50"/>
    </row>
    <row r="8" spans="1:16" ht="23.25" x14ac:dyDescent="0.35">
      <c r="B8" s="49">
        <v>1</v>
      </c>
      <c r="C8" s="4" t="s">
        <v>1</v>
      </c>
      <c r="D8" s="19">
        <v>568</v>
      </c>
      <c r="E8" s="50"/>
      <c r="F8" s="50"/>
      <c r="G8" s="50"/>
      <c r="H8" s="50"/>
      <c r="I8" s="50"/>
      <c r="J8" s="50"/>
      <c r="K8" s="50"/>
      <c r="L8" s="50"/>
      <c r="M8" s="50"/>
      <c r="N8" s="50"/>
    </row>
    <row r="9" spans="1:16" ht="15.75" x14ac:dyDescent="0.25">
      <c r="B9" s="49">
        <v>2</v>
      </c>
      <c r="C9" s="5" t="s">
        <v>30</v>
      </c>
      <c r="D9" s="19">
        <v>614</v>
      </c>
    </row>
    <row r="10" spans="1:16" ht="15.75" x14ac:dyDescent="0.25">
      <c r="B10" s="49">
        <v>3</v>
      </c>
      <c r="C10" s="5" t="s">
        <v>2</v>
      </c>
      <c r="D10" s="19">
        <v>173</v>
      </c>
    </row>
    <row r="11" spans="1:16" ht="31.5" x14ac:dyDescent="0.25">
      <c r="B11" s="49">
        <v>4</v>
      </c>
      <c r="C11" s="4" t="s">
        <v>3</v>
      </c>
      <c r="D11" s="19">
        <v>12</v>
      </c>
    </row>
    <row r="12" spans="1:16" ht="15.75" x14ac:dyDescent="0.25">
      <c r="B12" s="49">
        <v>5</v>
      </c>
      <c r="C12" s="4" t="s">
        <v>4</v>
      </c>
      <c r="D12" s="19">
        <v>65</v>
      </c>
    </row>
    <row r="13" spans="1:16" ht="15.75" x14ac:dyDescent="0.25">
      <c r="B13" s="49">
        <v>6</v>
      </c>
      <c r="C13" s="4" t="s">
        <v>37</v>
      </c>
      <c r="D13" s="6">
        <v>0</v>
      </c>
    </row>
    <row r="14" spans="1:16" ht="15.75" x14ac:dyDescent="0.25">
      <c r="B14" s="49">
        <v>7</v>
      </c>
      <c r="C14" s="4" t="s">
        <v>38</v>
      </c>
      <c r="D14" s="19">
        <v>0</v>
      </c>
    </row>
    <row r="15" spans="1:16" ht="15.75" x14ac:dyDescent="0.25">
      <c r="B15" s="63" t="s">
        <v>23</v>
      </c>
      <c r="C15" s="63"/>
      <c r="D15" s="26">
        <f>SUM(D8:D12)</f>
        <v>1432</v>
      </c>
    </row>
    <row r="17" spans="2:7" ht="15.75" x14ac:dyDescent="0.25">
      <c r="B17" s="68" t="s">
        <v>34</v>
      </c>
      <c r="C17" s="69"/>
      <c r="D17" s="23">
        <v>1432</v>
      </c>
      <c r="G17" s="22" t="s">
        <v>45</v>
      </c>
    </row>
    <row r="18" spans="2:7" ht="15.75" x14ac:dyDescent="0.25">
      <c r="B18" s="68" t="s">
        <v>35</v>
      </c>
      <c r="C18" s="69"/>
      <c r="D18" s="23">
        <v>12</v>
      </c>
    </row>
    <row r="19" spans="2:7" ht="15.75" x14ac:dyDescent="0.25">
      <c r="B19" s="68" t="s">
        <v>39</v>
      </c>
      <c r="C19" s="69"/>
      <c r="D19" s="23">
        <v>65</v>
      </c>
    </row>
    <row r="20" spans="2:7" ht="15.75" x14ac:dyDescent="0.25">
      <c r="B20" s="68" t="s">
        <v>37</v>
      </c>
      <c r="C20" s="69"/>
      <c r="D20" s="23">
        <v>0</v>
      </c>
    </row>
    <row r="21" spans="2:7" ht="15.75" x14ac:dyDescent="0.25">
      <c r="B21" s="68" t="s">
        <v>38</v>
      </c>
      <c r="C21" s="69"/>
      <c r="D21" s="23">
        <v>1</v>
      </c>
      <c r="G21" s="21" t="s">
        <v>25</v>
      </c>
    </row>
    <row r="22" spans="2:7" ht="15.75" x14ac:dyDescent="0.25">
      <c r="B22" s="68" t="s">
        <v>36</v>
      </c>
      <c r="C22" s="69"/>
      <c r="D22" s="27">
        <f>(D17)-D18</f>
        <v>1420</v>
      </c>
    </row>
    <row r="25" spans="2:7" ht="15.75" x14ac:dyDescent="0.25">
      <c r="B25" s="20" t="s">
        <v>24</v>
      </c>
    </row>
    <row r="26" spans="2:7" ht="15.75" x14ac:dyDescent="0.25">
      <c r="B26" s="63" t="s">
        <v>9</v>
      </c>
      <c r="C26" s="63"/>
      <c r="D26" s="63"/>
    </row>
    <row r="27" spans="2:7" ht="15.75" x14ac:dyDescent="0.25">
      <c r="B27" s="48">
        <v>1</v>
      </c>
      <c r="C27" s="10" t="s">
        <v>5</v>
      </c>
      <c r="D27" s="11">
        <v>31</v>
      </c>
    </row>
    <row r="28" spans="2:7" ht="31.5" x14ac:dyDescent="0.25">
      <c r="B28" s="49">
        <v>2</v>
      </c>
      <c r="C28" s="12" t="s">
        <v>31</v>
      </c>
      <c r="D28" s="11">
        <v>1065</v>
      </c>
    </row>
    <row r="29" spans="2:7" ht="15.75" x14ac:dyDescent="0.25">
      <c r="B29" s="48">
        <v>3</v>
      </c>
      <c r="C29" s="13" t="s">
        <v>6</v>
      </c>
      <c r="D29" s="14">
        <v>1</v>
      </c>
    </row>
    <row r="30" spans="2:7" ht="15.75" x14ac:dyDescent="0.25">
      <c r="B30" s="48">
        <v>4</v>
      </c>
      <c r="C30" s="10" t="s">
        <v>7</v>
      </c>
      <c r="D30" s="14">
        <v>85</v>
      </c>
    </row>
    <row r="31" spans="2:7" ht="15.75" x14ac:dyDescent="0.25">
      <c r="B31" s="71" t="s">
        <v>23</v>
      </c>
      <c r="C31" s="72"/>
      <c r="D31" s="49">
        <f>SUM(D27:D30)</f>
        <v>1182</v>
      </c>
    </row>
    <row r="35" spans="2:13" x14ac:dyDescent="0.25">
      <c r="G35" s="73" t="s">
        <v>44</v>
      </c>
      <c r="H35" s="73"/>
      <c r="I35" s="73"/>
      <c r="J35" s="73"/>
      <c r="K35" s="73"/>
      <c r="L35" s="73"/>
      <c r="M35" s="73"/>
    </row>
    <row r="36" spans="2:13" x14ac:dyDescent="0.25">
      <c r="G36" s="73"/>
      <c r="H36" s="73"/>
      <c r="I36" s="73"/>
      <c r="J36" s="73"/>
      <c r="K36" s="73"/>
      <c r="L36" s="73"/>
      <c r="M36" s="73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70" t="s">
        <v>19</v>
      </c>
      <c r="C41" s="70"/>
      <c r="D41" s="70"/>
    </row>
    <row r="42" spans="2:13" ht="15.75" x14ac:dyDescent="0.25">
      <c r="B42" s="48">
        <v>1</v>
      </c>
      <c r="C42" s="10" t="s">
        <v>10</v>
      </c>
      <c r="D42" s="11">
        <v>37</v>
      </c>
    </row>
    <row r="43" spans="2:13" ht="15.75" x14ac:dyDescent="0.25">
      <c r="B43" s="48">
        <v>2</v>
      </c>
      <c r="C43" s="10" t="s">
        <v>11</v>
      </c>
      <c r="D43" s="11">
        <v>1298</v>
      </c>
    </row>
    <row r="44" spans="2:13" ht="15.75" x14ac:dyDescent="0.25">
      <c r="B44" s="48">
        <v>3</v>
      </c>
      <c r="C44" s="10" t="s">
        <v>33</v>
      </c>
      <c r="D44" s="11">
        <v>0</v>
      </c>
    </row>
    <row r="45" spans="2:13" ht="15.75" x14ac:dyDescent="0.25">
      <c r="B45" s="48">
        <v>4</v>
      </c>
      <c r="C45" s="10" t="s">
        <v>32</v>
      </c>
      <c r="D45" s="11">
        <v>97</v>
      </c>
    </row>
    <row r="46" spans="2:13" ht="15.75" x14ac:dyDescent="0.25">
      <c r="B46" s="48">
        <v>5</v>
      </c>
      <c r="C46" s="10" t="s">
        <v>12</v>
      </c>
      <c r="D46" s="11">
        <v>0</v>
      </c>
    </row>
    <row r="47" spans="2:13" ht="15.75" x14ac:dyDescent="0.25">
      <c r="B47" s="63" t="s">
        <v>23</v>
      </c>
      <c r="C47" s="63"/>
      <c r="D47" s="7">
        <f>SUM(D42:D46)</f>
        <v>1432</v>
      </c>
    </row>
    <row r="55" spans="2:7" ht="15.75" customHeight="1" x14ac:dyDescent="0.25">
      <c r="B55" s="20" t="s">
        <v>28</v>
      </c>
      <c r="G55" s="22" t="s">
        <v>45</v>
      </c>
    </row>
    <row r="56" spans="2:7" ht="15.75" x14ac:dyDescent="0.25">
      <c r="B56" s="63" t="s">
        <v>13</v>
      </c>
      <c r="C56" s="63"/>
      <c r="D56" s="63"/>
    </row>
    <row r="57" spans="2:7" ht="31.5" x14ac:dyDescent="0.25">
      <c r="B57" s="17">
        <v>1</v>
      </c>
      <c r="C57" s="18" t="s">
        <v>14</v>
      </c>
      <c r="D57" s="19">
        <v>17</v>
      </c>
    </row>
    <row r="58" spans="2:7" ht="31.5" x14ac:dyDescent="0.25">
      <c r="B58" s="17">
        <v>2</v>
      </c>
      <c r="C58" s="18" t="s">
        <v>15</v>
      </c>
      <c r="D58" s="19">
        <v>1150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627</v>
      </c>
    </row>
    <row r="60" spans="2:7" ht="31.5" x14ac:dyDescent="0.25">
      <c r="B60" s="17">
        <v>4</v>
      </c>
      <c r="C60" s="18" t="s">
        <v>17</v>
      </c>
      <c r="D60" s="19">
        <v>0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74" t="s">
        <v>23</v>
      </c>
      <c r="C62" s="75"/>
      <c r="D62" s="48">
        <f>SUM(D57:D61)</f>
        <v>1794</v>
      </c>
      <c r="G62" s="22" t="s">
        <v>22</v>
      </c>
    </row>
    <row r="66" spans="7:13" x14ac:dyDescent="0.25">
      <c r="G66" s="73" t="s">
        <v>44</v>
      </c>
      <c r="H66" s="73"/>
      <c r="I66" s="73"/>
      <c r="J66" s="73"/>
      <c r="K66" s="73"/>
      <c r="L66" s="73"/>
      <c r="M66" s="73"/>
    </row>
    <row r="67" spans="7:13" x14ac:dyDescent="0.25">
      <c r="G67" s="73"/>
      <c r="H67" s="73"/>
      <c r="I67" s="73"/>
      <c r="J67" s="73"/>
      <c r="K67" s="73"/>
      <c r="L67" s="73"/>
      <c r="M67" s="73"/>
    </row>
  </sheetData>
  <mergeCells count="19">
    <mergeCell ref="B7:D7"/>
    <mergeCell ref="B15:C15"/>
    <mergeCell ref="B26:D26"/>
    <mergeCell ref="B1:N1"/>
    <mergeCell ref="B2:N2"/>
    <mergeCell ref="B4:N4"/>
    <mergeCell ref="B22:C22"/>
    <mergeCell ref="B21:C21"/>
    <mergeCell ref="B18:C18"/>
    <mergeCell ref="B17:C17"/>
    <mergeCell ref="B19:C19"/>
    <mergeCell ref="B20:C20"/>
    <mergeCell ref="B31:C31"/>
    <mergeCell ref="B47:C47"/>
    <mergeCell ref="B41:D41"/>
    <mergeCell ref="G35:M36"/>
    <mergeCell ref="G66:M67"/>
    <mergeCell ref="B62:C62"/>
    <mergeCell ref="B56:D56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7"/>
  <sheetViews>
    <sheetView workbookViewId="0">
      <selection activeCell="E5" sqref="E5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4.85546875" style="2" bestFit="1" customWidth="1"/>
    <col min="5" max="16384" width="11.42578125" style="2"/>
  </cols>
  <sheetData>
    <row r="1" spans="1:16" ht="133.5" customHeight="1" x14ac:dyDescent="0.25">
      <c r="A1" s="28"/>
      <c r="B1" s="64" t="s">
        <v>61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29"/>
      <c r="P1" s="1"/>
    </row>
    <row r="2" spans="1:16" ht="23.25" x14ac:dyDescent="0.35">
      <c r="A2" s="28"/>
      <c r="B2" s="65" t="s">
        <v>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28"/>
    </row>
    <row r="4" spans="1:16" ht="23.25" x14ac:dyDescent="0.35">
      <c r="B4" s="67" t="s">
        <v>60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</row>
    <row r="5" spans="1:16" ht="23.25" x14ac:dyDescent="0.35">
      <c r="B5" s="52"/>
      <c r="C5" s="52"/>
      <c r="D5" s="52"/>
      <c r="E5" s="52"/>
      <c r="F5" s="52"/>
      <c r="G5" s="21" t="s">
        <v>21</v>
      </c>
      <c r="H5" s="52"/>
      <c r="I5" s="52"/>
      <c r="J5" s="52"/>
      <c r="K5" s="52"/>
      <c r="L5" s="52"/>
      <c r="M5" s="52"/>
      <c r="N5" s="52"/>
    </row>
    <row r="6" spans="1:16" ht="23.25" x14ac:dyDescent="0.35">
      <c r="B6" s="20" t="s">
        <v>20</v>
      </c>
      <c r="E6" s="52"/>
      <c r="F6" s="52"/>
      <c r="G6" s="52"/>
      <c r="H6" s="52"/>
      <c r="I6" s="52"/>
      <c r="J6" s="52"/>
      <c r="K6" s="52"/>
      <c r="L6" s="52"/>
      <c r="M6" s="52"/>
      <c r="N6" s="52"/>
    </row>
    <row r="7" spans="1:16" ht="23.25" x14ac:dyDescent="0.35">
      <c r="B7" s="70" t="s">
        <v>8</v>
      </c>
      <c r="C7" s="70"/>
      <c r="D7" s="70"/>
      <c r="E7" s="52"/>
      <c r="F7" s="52"/>
      <c r="G7" s="52"/>
      <c r="H7" s="52"/>
      <c r="I7" s="52"/>
      <c r="J7" s="52"/>
      <c r="K7" s="52"/>
      <c r="L7" s="52"/>
      <c r="M7" s="52"/>
      <c r="N7" s="52"/>
    </row>
    <row r="8" spans="1:16" ht="23.25" x14ac:dyDescent="0.35">
      <c r="B8" s="53">
        <v>1</v>
      </c>
      <c r="C8" s="4" t="s">
        <v>1</v>
      </c>
      <c r="D8" s="19">
        <v>425</v>
      </c>
      <c r="E8" s="52"/>
      <c r="F8" s="52"/>
      <c r="G8" s="52"/>
      <c r="H8" s="52"/>
      <c r="I8" s="52"/>
      <c r="J8" s="52"/>
      <c r="K8" s="52"/>
      <c r="L8" s="52"/>
      <c r="M8" s="52"/>
      <c r="N8" s="52"/>
    </row>
    <row r="9" spans="1:16" ht="15.75" x14ac:dyDescent="0.25">
      <c r="B9" s="53">
        <v>2</v>
      </c>
      <c r="C9" s="5" t="s">
        <v>30</v>
      </c>
      <c r="D9" s="19">
        <v>524</v>
      </c>
    </row>
    <row r="10" spans="1:16" ht="15.75" x14ac:dyDescent="0.25">
      <c r="B10" s="53">
        <v>3</v>
      </c>
      <c r="C10" s="5" t="s">
        <v>2</v>
      </c>
      <c r="D10" s="19">
        <v>163</v>
      </c>
    </row>
    <row r="11" spans="1:16" ht="31.5" x14ac:dyDescent="0.25">
      <c r="B11" s="53">
        <v>4</v>
      </c>
      <c r="C11" s="4" t="s">
        <v>3</v>
      </c>
      <c r="D11" s="19">
        <v>19</v>
      </c>
    </row>
    <row r="12" spans="1:16" ht="15.75" x14ac:dyDescent="0.25">
      <c r="B12" s="53">
        <v>5</v>
      </c>
      <c r="C12" s="4" t="s">
        <v>4</v>
      </c>
      <c r="D12" s="19">
        <v>35</v>
      </c>
    </row>
    <row r="13" spans="1:16" ht="15.75" x14ac:dyDescent="0.25">
      <c r="B13" s="53">
        <v>6</v>
      </c>
      <c r="C13" s="4" t="s">
        <v>37</v>
      </c>
      <c r="D13" s="6">
        <v>0</v>
      </c>
    </row>
    <row r="14" spans="1:16" ht="15.75" x14ac:dyDescent="0.25">
      <c r="B14" s="53">
        <v>7</v>
      </c>
      <c r="C14" s="4" t="s">
        <v>38</v>
      </c>
      <c r="D14" s="19">
        <v>0</v>
      </c>
    </row>
    <row r="15" spans="1:16" ht="15.75" x14ac:dyDescent="0.25">
      <c r="B15" s="63" t="s">
        <v>23</v>
      </c>
      <c r="C15" s="63"/>
      <c r="D15" s="26">
        <f>SUM(D8:D11)</f>
        <v>1131</v>
      </c>
    </row>
    <row r="17" spans="2:7" ht="15.75" x14ac:dyDescent="0.25">
      <c r="B17" s="68" t="s">
        <v>34</v>
      </c>
      <c r="C17" s="69"/>
      <c r="D17" s="23">
        <v>1131</v>
      </c>
      <c r="G17" s="22" t="s">
        <v>45</v>
      </c>
    </row>
    <row r="18" spans="2:7" ht="15.75" x14ac:dyDescent="0.25">
      <c r="B18" s="68" t="s">
        <v>35</v>
      </c>
      <c r="C18" s="69"/>
      <c r="D18" s="23">
        <v>19</v>
      </c>
    </row>
    <row r="19" spans="2:7" ht="15.75" x14ac:dyDescent="0.25">
      <c r="B19" s="68" t="s">
        <v>39</v>
      </c>
      <c r="C19" s="69"/>
      <c r="D19" s="23">
        <v>35</v>
      </c>
    </row>
    <row r="20" spans="2:7" ht="15.75" x14ac:dyDescent="0.25">
      <c r="B20" s="68" t="s">
        <v>37</v>
      </c>
      <c r="C20" s="69"/>
      <c r="D20" s="23">
        <v>0</v>
      </c>
    </row>
    <row r="21" spans="2:7" ht="15.75" x14ac:dyDescent="0.25">
      <c r="B21" s="68" t="s">
        <v>38</v>
      </c>
      <c r="C21" s="69"/>
      <c r="D21" s="23">
        <v>1</v>
      </c>
      <c r="G21" s="21" t="s">
        <v>25</v>
      </c>
    </row>
    <row r="22" spans="2:7" ht="15.75" x14ac:dyDescent="0.25">
      <c r="B22" s="68" t="s">
        <v>36</v>
      </c>
      <c r="C22" s="69"/>
      <c r="D22" s="27">
        <f>(D17)-D18</f>
        <v>1112</v>
      </c>
    </row>
    <row r="25" spans="2:7" ht="15.75" x14ac:dyDescent="0.25">
      <c r="B25" s="20" t="s">
        <v>24</v>
      </c>
    </row>
    <row r="26" spans="2:7" ht="15.75" x14ac:dyDescent="0.25">
      <c r="B26" s="63" t="s">
        <v>9</v>
      </c>
      <c r="C26" s="63"/>
      <c r="D26" s="63"/>
    </row>
    <row r="27" spans="2:7" ht="15.75" x14ac:dyDescent="0.25">
      <c r="B27" s="51">
        <v>1</v>
      </c>
      <c r="C27" s="10" t="s">
        <v>5</v>
      </c>
      <c r="D27" s="11">
        <v>44</v>
      </c>
    </row>
    <row r="28" spans="2:7" ht="31.5" x14ac:dyDescent="0.25">
      <c r="B28" s="53">
        <v>2</v>
      </c>
      <c r="C28" s="12" t="s">
        <v>31</v>
      </c>
      <c r="D28" s="11">
        <v>830</v>
      </c>
    </row>
    <row r="29" spans="2:7" ht="15.75" x14ac:dyDescent="0.25">
      <c r="B29" s="51">
        <v>3</v>
      </c>
      <c r="C29" s="13" t="s">
        <v>6</v>
      </c>
      <c r="D29" s="14">
        <v>1</v>
      </c>
    </row>
    <row r="30" spans="2:7" ht="15.75" x14ac:dyDescent="0.25">
      <c r="B30" s="51">
        <v>4</v>
      </c>
      <c r="C30" s="10" t="s">
        <v>7</v>
      </c>
      <c r="D30" s="14">
        <v>74</v>
      </c>
    </row>
    <row r="31" spans="2:7" ht="15.75" x14ac:dyDescent="0.25">
      <c r="B31" s="71" t="s">
        <v>23</v>
      </c>
      <c r="C31" s="72"/>
      <c r="D31" s="53">
        <f>SUM(D27:D30)</f>
        <v>949</v>
      </c>
    </row>
    <row r="35" spans="2:13" x14ac:dyDescent="0.25">
      <c r="G35" s="73" t="s">
        <v>44</v>
      </c>
      <c r="H35" s="73"/>
      <c r="I35" s="73"/>
      <c r="J35" s="73"/>
      <c r="K35" s="73"/>
      <c r="L35" s="73"/>
      <c r="M35" s="73"/>
    </row>
    <row r="36" spans="2:13" x14ac:dyDescent="0.25">
      <c r="G36" s="73"/>
      <c r="H36" s="73"/>
      <c r="I36" s="73"/>
      <c r="J36" s="73"/>
      <c r="K36" s="73"/>
      <c r="L36" s="73"/>
      <c r="M36" s="73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70" t="s">
        <v>19</v>
      </c>
      <c r="C41" s="70"/>
      <c r="D41" s="70"/>
    </row>
    <row r="42" spans="2:13" ht="15.75" x14ac:dyDescent="0.25">
      <c r="B42" s="51">
        <v>1</v>
      </c>
      <c r="C42" s="10" t="s">
        <v>10</v>
      </c>
      <c r="D42" s="11">
        <v>30</v>
      </c>
    </row>
    <row r="43" spans="2:13" ht="15.75" x14ac:dyDescent="0.25">
      <c r="B43" s="51">
        <v>2</v>
      </c>
      <c r="C43" s="10" t="s">
        <v>11</v>
      </c>
      <c r="D43" s="11">
        <v>1002</v>
      </c>
    </row>
    <row r="44" spans="2:13" ht="15.75" x14ac:dyDescent="0.25">
      <c r="B44" s="51">
        <v>3</v>
      </c>
      <c r="C44" s="10" t="s">
        <v>33</v>
      </c>
      <c r="D44" s="11">
        <v>0</v>
      </c>
    </row>
    <row r="45" spans="2:13" ht="15.75" x14ac:dyDescent="0.25">
      <c r="B45" s="51">
        <v>4</v>
      </c>
      <c r="C45" s="10" t="s">
        <v>32</v>
      </c>
      <c r="D45" s="11">
        <v>99</v>
      </c>
    </row>
    <row r="46" spans="2:13" ht="15.75" x14ac:dyDescent="0.25">
      <c r="B46" s="51">
        <v>5</v>
      </c>
      <c r="C46" s="10" t="s">
        <v>12</v>
      </c>
      <c r="D46" s="11">
        <v>0</v>
      </c>
    </row>
    <row r="47" spans="2:13" ht="15.75" x14ac:dyDescent="0.25">
      <c r="B47" s="63" t="s">
        <v>23</v>
      </c>
      <c r="C47" s="63"/>
      <c r="D47" s="7">
        <f>SUM(D42:D46)</f>
        <v>1131</v>
      </c>
    </row>
    <row r="55" spans="2:7" ht="15.75" customHeight="1" x14ac:dyDescent="0.25">
      <c r="B55" s="20" t="s">
        <v>28</v>
      </c>
      <c r="G55" s="22" t="s">
        <v>45</v>
      </c>
    </row>
    <row r="56" spans="2:7" ht="15.75" x14ac:dyDescent="0.25">
      <c r="B56" s="63" t="s">
        <v>13</v>
      </c>
      <c r="C56" s="63"/>
      <c r="D56" s="63"/>
    </row>
    <row r="57" spans="2:7" ht="31.5" x14ac:dyDescent="0.25">
      <c r="B57" s="17">
        <v>1</v>
      </c>
      <c r="C57" s="18" t="s">
        <v>14</v>
      </c>
      <c r="D57" s="19">
        <v>12</v>
      </c>
    </row>
    <row r="58" spans="2:7" ht="31.5" x14ac:dyDescent="0.25">
      <c r="B58" s="17">
        <v>2</v>
      </c>
      <c r="C58" s="18" t="s">
        <v>15</v>
      </c>
      <c r="D58" s="19">
        <v>936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497</v>
      </c>
    </row>
    <row r="60" spans="2:7" ht="31.5" x14ac:dyDescent="0.25">
      <c r="B60" s="17">
        <v>4</v>
      </c>
      <c r="C60" s="18" t="s">
        <v>17</v>
      </c>
      <c r="D60" s="19">
        <v>1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74" t="s">
        <v>23</v>
      </c>
      <c r="C62" s="75"/>
      <c r="D62" s="51">
        <f>SUM(D57:D61)</f>
        <v>1446</v>
      </c>
      <c r="G62" s="22" t="s">
        <v>22</v>
      </c>
    </row>
    <row r="66" spans="7:13" x14ac:dyDescent="0.25">
      <c r="G66" s="73" t="s">
        <v>44</v>
      </c>
      <c r="H66" s="73"/>
      <c r="I66" s="73"/>
      <c r="J66" s="73"/>
      <c r="K66" s="73"/>
      <c r="L66" s="73"/>
      <c r="M66" s="73"/>
    </row>
    <row r="67" spans="7:13" x14ac:dyDescent="0.25">
      <c r="G67" s="73"/>
      <c r="H67" s="73"/>
      <c r="I67" s="73"/>
      <c r="J67" s="73"/>
      <c r="K67" s="73"/>
      <c r="L67" s="73"/>
      <c r="M67" s="73"/>
    </row>
  </sheetData>
  <mergeCells count="19">
    <mergeCell ref="B1:N1"/>
    <mergeCell ref="B2:N2"/>
    <mergeCell ref="B4:N4"/>
    <mergeCell ref="B22:C22"/>
    <mergeCell ref="B21:C21"/>
    <mergeCell ref="B18:C18"/>
    <mergeCell ref="B17:C17"/>
    <mergeCell ref="B19:C19"/>
    <mergeCell ref="B20:C20"/>
    <mergeCell ref="G66:M67"/>
    <mergeCell ref="B62:C62"/>
    <mergeCell ref="B56:D56"/>
    <mergeCell ref="B7:D7"/>
    <mergeCell ref="B15:C15"/>
    <mergeCell ref="B31:C31"/>
    <mergeCell ref="B47:C47"/>
    <mergeCell ref="B41:D41"/>
    <mergeCell ref="G35:M36"/>
    <mergeCell ref="B26:D26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7"/>
  <sheetViews>
    <sheetView workbookViewId="0">
      <selection activeCell="F6" sqref="F6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4.85546875" style="2" bestFit="1" customWidth="1"/>
    <col min="5" max="16384" width="11.42578125" style="2"/>
  </cols>
  <sheetData>
    <row r="1" spans="1:16" ht="133.5" customHeight="1" x14ac:dyDescent="0.25">
      <c r="A1" s="28"/>
      <c r="B1" s="64" t="s">
        <v>63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29"/>
      <c r="P1" s="1"/>
    </row>
    <row r="2" spans="1:16" ht="23.25" x14ac:dyDescent="0.35">
      <c r="A2" s="28"/>
      <c r="B2" s="65" t="s">
        <v>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28"/>
    </row>
    <row r="4" spans="1:16" ht="23.25" x14ac:dyDescent="0.35">
      <c r="B4" s="67" t="s">
        <v>62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</row>
    <row r="5" spans="1:16" ht="23.25" x14ac:dyDescent="0.35">
      <c r="B5" s="56"/>
      <c r="C5" s="56"/>
      <c r="D5" s="56"/>
      <c r="E5" s="56"/>
      <c r="F5" s="56"/>
      <c r="G5" s="21" t="s">
        <v>21</v>
      </c>
      <c r="H5" s="56"/>
      <c r="I5" s="56"/>
      <c r="J5" s="56"/>
      <c r="K5" s="56"/>
      <c r="L5" s="56"/>
      <c r="M5" s="56"/>
      <c r="N5" s="56"/>
    </row>
    <row r="6" spans="1:16" ht="23.25" x14ac:dyDescent="0.35">
      <c r="B6" s="20" t="s">
        <v>20</v>
      </c>
      <c r="E6" s="56"/>
      <c r="F6" s="56"/>
      <c r="G6" s="56"/>
      <c r="H6" s="56"/>
      <c r="I6" s="56"/>
      <c r="J6" s="56"/>
      <c r="K6" s="56"/>
      <c r="L6" s="56"/>
      <c r="M6" s="56"/>
      <c r="N6" s="56"/>
    </row>
    <row r="7" spans="1:16" ht="23.25" x14ac:dyDescent="0.35">
      <c r="B7" s="70" t="s">
        <v>8</v>
      </c>
      <c r="C7" s="70"/>
      <c r="D7" s="70"/>
      <c r="E7" s="56"/>
      <c r="F7" s="56"/>
      <c r="G7" s="56"/>
      <c r="H7" s="56"/>
      <c r="I7" s="56"/>
      <c r="J7" s="56"/>
      <c r="K7" s="56"/>
      <c r="L7" s="56"/>
      <c r="M7" s="56"/>
      <c r="N7" s="56"/>
    </row>
    <row r="8" spans="1:16" ht="23.25" x14ac:dyDescent="0.35">
      <c r="B8" s="55">
        <v>1</v>
      </c>
      <c r="C8" s="4" t="s">
        <v>1</v>
      </c>
      <c r="D8" s="19">
        <v>438</v>
      </c>
      <c r="E8" s="56"/>
      <c r="F8" s="56"/>
      <c r="G8" s="56"/>
      <c r="H8" s="56"/>
      <c r="I8" s="56"/>
      <c r="J8" s="56"/>
      <c r="K8" s="56"/>
      <c r="L8" s="56"/>
      <c r="M8" s="56"/>
      <c r="N8" s="56"/>
    </row>
    <row r="9" spans="1:16" ht="15.75" x14ac:dyDescent="0.25">
      <c r="B9" s="55">
        <v>2</v>
      </c>
      <c r="C9" s="5" t="s">
        <v>30</v>
      </c>
      <c r="D9" s="19">
        <v>552</v>
      </c>
    </row>
    <row r="10" spans="1:16" ht="15.75" x14ac:dyDescent="0.25">
      <c r="B10" s="55">
        <v>3</v>
      </c>
      <c r="C10" s="5" t="s">
        <v>2</v>
      </c>
      <c r="D10" s="19">
        <v>164</v>
      </c>
    </row>
    <row r="11" spans="1:16" ht="31.5" x14ac:dyDescent="0.25">
      <c r="B11" s="55">
        <v>4</v>
      </c>
      <c r="C11" s="4" t="s">
        <v>3</v>
      </c>
      <c r="D11" s="19">
        <v>14</v>
      </c>
    </row>
    <row r="12" spans="1:16" ht="15.75" x14ac:dyDescent="0.25">
      <c r="B12" s="55">
        <v>5</v>
      </c>
      <c r="C12" s="4" t="s">
        <v>4</v>
      </c>
      <c r="D12" s="19">
        <v>31</v>
      </c>
    </row>
    <row r="13" spans="1:16" ht="15.75" x14ac:dyDescent="0.25">
      <c r="B13" s="55">
        <v>6</v>
      </c>
      <c r="C13" s="4" t="s">
        <v>37</v>
      </c>
      <c r="D13" s="6">
        <v>1</v>
      </c>
    </row>
    <row r="14" spans="1:16" ht="15.75" x14ac:dyDescent="0.25">
      <c r="B14" s="55">
        <v>7</v>
      </c>
      <c r="C14" s="4" t="s">
        <v>38</v>
      </c>
      <c r="D14" s="19">
        <v>0</v>
      </c>
    </row>
    <row r="15" spans="1:16" ht="15.75" x14ac:dyDescent="0.25">
      <c r="B15" s="63" t="s">
        <v>23</v>
      </c>
      <c r="C15" s="63"/>
      <c r="D15" s="26">
        <f>SUM(D8+D10+D12+D9+D13+D11)</f>
        <v>1200</v>
      </c>
    </row>
    <row r="17" spans="2:7" ht="15.75" x14ac:dyDescent="0.25">
      <c r="B17" s="68" t="s">
        <v>34</v>
      </c>
      <c r="C17" s="69"/>
      <c r="D17" s="23">
        <v>1200</v>
      </c>
      <c r="G17" s="22" t="s">
        <v>45</v>
      </c>
    </row>
    <row r="18" spans="2:7" ht="15.75" x14ac:dyDescent="0.25">
      <c r="B18" s="68" t="s">
        <v>35</v>
      </c>
      <c r="C18" s="69"/>
      <c r="D18" s="23">
        <v>14</v>
      </c>
    </row>
    <row r="19" spans="2:7" ht="15.75" x14ac:dyDescent="0.25">
      <c r="B19" s="68" t="s">
        <v>39</v>
      </c>
      <c r="C19" s="69"/>
      <c r="D19" s="23">
        <v>31</v>
      </c>
    </row>
    <row r="20" spans="2:7" ht="15.75" x14ac:dyDescent="0.25">
      <c r="B20" s="68" t="s">
        <v>37</v>
      </c>
      <c r="C20" s="69"/>
      <c r="D20" s="23">
        <v>1</v>
      </c>
    </row>
    <row r="21" spans="2:7" ht="15.75" x14ac:dyDescent="0.25">
      <c r="B21" s="68" t="s">
        <v>38</v>
      </c>
      <c r="C21" s="69"/>
      <c r="D21" s="23">
        <v>0</v>
      </c>
      <c r="G21" s="21" t="s">
        <v>25</v>
      </c>
    </row>
    <row r="22" spans="2:7" ht="15.75" x14ac:dyDescent="0.25">
      <c r="B22" s="68" t="s">
        <v>36</v>
      </c>
      <c r="C22" s="69"/>
      <c r="D22" s="27">
        <f>(D17)-D18</f>
        <v>1186</v>
      </c>
    </row>
    <row r="25" spans="2:7" ht="15.75" x14ac:dyDescent="0.25">
      <c r="B25" s="20" t="s">
        <v>24</v>
      </c>
    </row>
    <row r="26" spans="2:7" ht="15.75" x14ac:dyDescent="0.25">
      <c r="B26" s="63" t="s">
        <v>9</v>
      </c>
      <c r="C26" s="63"/>
      <c r="D26" s="63"/>
    </row>
    <row r="27" spans="2:7" ht="15.75" x14ac:dyDescent="0.25">
      <c r="B27" s="54">
        <v>1</v>
      </c>
      <c r="C27" s="10" t="s">
        <v>5</v>
      </c>
      <c r="D27" s="11">
        <v>48</v>
      </c>
    </row>
    <row r="28" spans="2:7" ht="31.5" x14ac:dyDescent="0.25">
      <c r="B28" s="55">
        <v>2</v>
      </c>
      <c r="C28" s="12" t="s">
        <v>31</v>
      </c>
      <c r="D28" s="11">
        <v>896</v>
      </c>
    </row>
    <row r="29" spans="2:7" ht="15.75" x14ac:dyDescent="0.25">
      <c r="B29" s="54">
        <v>3</v>
      </c>
      <c r="C29" s="13" t="s">
        <v>6</v>
      </c>
      <c r="D29" s="14">
        <v>1</v>
      </c>
    </row>
    <row r="30" spans="2:7" ht="15.75" x14ac:dyDescent="0.25">
      <c r="B30" s="54">
        <v>4</v>
      </c>
      <c r="C30" s="10" t="s">
        <v>7</v>
      </c>
      <c r="D30" s="14">
        <v>45</v>
      </c>
    </row>
    <row r="31" spans="2:7" ht="15.75" x14ac:dyDescent="0.25">
      <c r="B31" s="71" t="s">
        <v>23</v>
      </c>
      <c r="C31" s="72"/>
      <c r="D31" s="55">
        <f>SUM(D27:D30)</f>
        <v>990</v>
      </c>
    </row>
    <row r="35" spans="2:13" x14ac:dyDescent="0.25">
      <c r="G35" s="73" t="s">
        <v>44</v>
      </c>
      <c r="H35" s="73"/>
      <c r="I35" s="73"/>
      <c r="J35" s="73"/>
      <c r="K35" s="73"/>
      <c r="L35" s="73"/>
      <c r="M35" s="73"/>
    </row>
    <row r="36" spans="2:13" x14ac:dyDescent="0.25">
      <c r="G36" s="73"/>
      <c r="H36" s="73"/>
      <c r="I36" s="73"/>
      <c r="J36" s="73"/>
      <c r="K36" s="73"/>
      <c r="L36" s="73"/>
      <c r="M36" s="73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70" t="s">
        <v>19</v>
      </c>
      <c r="C41" s="70"/>
      <c r="D41" s="70"/>
    </row>
    <row r="42" spans="2:13" ht="15.75" x14ac:dyDescent="0.25">
      <c r="B42" s="54">
        <v>1</v>
      </c>
      <c r="C42" s="10" t="s">
        <v>10</v>
      </c>
      <c r="D42" s="11">
        <v>21</v>
      </c>
    </row>
    <row r="43" spans="2:13" ht="15.75" x14ac:dyDescent="0.25">
      <c r="B43" s="54">
        <v>2</v>
      </c>
      <c r="C43" s="10" t="s">
        <v>11</v>
      </c>
      <c r="D43" s="11">
        <v>1058</v>
      </c>
    </row>
    <row r="44" spans="2:13" ht="15.75" x14ac:dyDescent="0.25">
      <c r="B44" s="54">
        <v>3</v>
      </c>
      <c r="C44" s="10" t="s">
        <v>33</v>
      </c>
      <c r="D44" s="11">
        <v>0</v>
      </c>
    </row>
    <row r="45" spans="2:13" ht="15.75" x14ac:dyDescent="0.25">
      <c r="B45" s="54">
        <v>4</v>
      </c>
      <c r="C45" s="10" t="s">
        <v>32</v>
      </c>
      <c r="D45" s="11">
        <v>121</v>
      </c>
    </row>
    <row r="46" spans="2:13" ht="15.75" x14ac:dyDescent="0.25">
      <c r="B46" s="54">
        <v>5</v>
      </c>
      <c r="C46" s="10" t="s">
        <v>12</v>
      </c>
      <c r="D46" s="11">
        <v>0</v>
      </c>
    </row>
    <row r="47" spans="2:13" ht="15.75" x14ac:dyDescent="0.25">
      <c r="B47" s="63" t="s">
        <v>23</v>
      </c>
      <c r="C47" s="63"/>
      <c r="D47" s="7">
        <f>SUM(D42:D46)</f>
        <v>1200</v>
      </c>
    </row>
    <row r="55" spans="2:7" ht="15.75" customHeight="1" x14ac:dyDescent="0.25">
      <c r="B55" s="20" t="s">
        <v>28</v>
      </c>
      <c r="G55" s="22" t="s">
        <v>45</v>
      </c>
    </row>
    <row r="56" spans="2:7" ht="15.75" x14ac:dyDescent="0.25">
      <c r="B56" s="63" t="s">
        <v>13</v>
      </c>
      <c r="C56" s="63"/>
      <c r="D56" s="63"/>
    </row>
    <row r="57" spans="2:7" ht="31.5" x14ac:dyDescent="0.25">
      <c r="B57" s="17">
        <v>1</v>
      </c>
      <c r="C57" s="18" t="s">
        <v>14</v>
      </c>
      <c r="D57" s="19">
        <v>10</v>
      </c>
    </row>
    <row r="58" spans="2:7" ht="31.5" x14ac:dyDescent="0.25">
      <c r="B58" s="17">
        <v>2</v>
      </c>
      <c r="C58" s="18" t="s">
        <v>15</v>
      </c>
      <c r="D58" s="19">
        <v>961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469</v>
      </c>
    </row>
    <row r="60" spans="2:7" ht="31.5" x14ac:dyDescent="0.25">
      <c r="B60" s="17">
        <v>4</v>
      </c>
      <c r="C60" s="18" t="s">
        <v>17</v>
      </c>
      <c r="D60" s="19">
        <v>1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74" t="s">
        <v>23</v>
      </c>
      <c r="C62" s="75"/>
      <c r="D62" s="54">
        <f>SUM(D57:D61)</f>
        <v>1441</v>
      </c>
      <c r="G62" s="22" t="s">
        <v>22</v>
      </c>
    </row>
    <row r="66" spans="7:13" x14ac:dyDescent="0.25">
      <c r="G66" s="73" t="s">
        <v>44</v>
      </c>
      <c r="H66" s="73"/>
      <c r="I66" s="73"/>
      <c r="J66" s="73"/>
      <c r="K66" s="73"/>
      <c r="L66" s="73"/>
      <c r="M66" s="73"/>
    </row>
    <row r="67" spans="7:13" x14ac:dyDescent="0.25">
      <c r="G67" s="73"/>
      <c r="H67" s="73"/>
      <c r="I67" s="73"/>
      <c r="J67" s="73"/>
      <c r="K67" s="73"/>
      <c r="L67" s="73"/>
      <c r="M67" s="73"/>
    </row>
  </sheetData>
  <mergeCells count="19">
    <mergeCell ref="B7:D7"/>
    <mergeCell ref="B15:C15"/>
    <mergeCell ref="B26:D26"/>
    <mergeCell ref="B1:N1"/>
    <mergeCell ref="B2:N2"/>
    <mergeCell ref="B4:N4"/>
    <mergeCell ref="B22:C22"/>
    <mergeCell ref="B21:C21"/>
    <mergeCell ref="B18:C18"/>
    <mergeCell ref="B17:C17"/>
    <mergeCell ref="B19:C19"/>
    <mergeCell ref="B20:C20"/>
    <mergeCell ref="B31:C31"/>
    <mergeCell ref="B47:C47"/>
    <mergeCell ref="B41:D41"/>
    <mergeCell ref="G35:M36"/>
    <mergeCell ref="G66:M67"/>
    <mergeCell ref="B62:C62"/>
    <mergeCell ref="B56:D56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7"/>
  <sheetViews>
    <sheetView workbookViewId="0">
      <selection activeCell="E6" sqref="E6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4.85546875" style="2" bestFit="1" customWidth="1"/>
    <col min="5" max="16384" width="11.42578125" style="2"/>
  </cols>
  <sheetData>
    <row r="1" spans="1:16" ht="133.5" customHeight="1" x14ac:dyDescent="0.25">
      <c r="A1" s="28"/>
      <c r="B1" s="64" t="s">
        <v>65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29"/>
      <c r="P1" s="1"/>
    </row>
    <row r="2" spans="1:16" ht="23.25" x14ac:dyDescent="0.35">
      <c r="A2" s="28"/>
      <c r="B2" s="65" t="s">
        <v>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28"/>
    </row>
    <row r="4" spans="1:16" ht="23.25" x14ac:dyDescent="0.35">
      <c r="B4" s="67" t="s">
        <v>64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</row>
    <row r="5" spans="1:16" ht="23.25" x14ac:dyDescent="0.35">
      <c r="B5" s="58"/>
      <c r="C5" s="58"/>
      <c r="D5" s="58"/>
      <c r="E5" s="58"/>
      <c r="F5" s="58"/>
      <c r="G5" s="21" t="s">
        <v>21</v>
      </c>
      <c r="H5" s="58"/>
      <c r="I5" s="58"/>
      <c r="J5" s="58"/>
      <c r="K5" s="58"/>
      <c r="L5" s="58"/>
      <c r="M5" s="58"/>
      <c r="N5" s="58"/>
    </row>
    <row r="6" spans="1:16" ht="23.25" x14ac:dyDescent="0.35">
      <c r="B6" s="20" t="s">
        <v>20</v>
      </c>
      <c r="E6" s="58"/>
      <c r="F6" s="58"/>
      <c r="G6" s="58"/>
      <c r="H6" s="58"/>
      <c r="I6" s="58"/>
      <c r="J6" s="58"/>
      <c r="K6" s="58"/>
      <c r="L6" s="58"/>
      <c r="M6" s="58"/>
      <c r="N6" s="58"/>
    </row>
    <row r="7" spans="1:16" ht="23.25" x14ac:dyDescent="0.35">
      <c r="B7" s="70" t="s">
        <v>8</v>
      </c>
      <c r="C7" s="70"/>
      <c r="D7" s="70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6" ht="23.25" x14ac:dyDescent="0.35">
      <c r="B8" s="59">
        <v>1</v>
      </c>
      <c r="C8" s="4" t="s">
        <v>1</v>
      </c>
      <c r="D8" s="19">
        <v>460</v>
      </c>
      <c r="E8" s="58"/>
      <c r="F8" s="58"/>
      <c r="G8" s="58"/>
      <c r="H8" s="58"/>
      <c r="I8" s="58"/>
      <c r="J8" s="58"/>
      <c r="K8" s="58"/>
      <c r="L8" s="58"/>
      <c r="M8" s="58"/>
      <c r="N8" s="58"/>
    </row>
    <row r="9" spans="1:16" ht="15.75" x14ac:dyDescent="0.25">
      <c r="B9" s="59">
        <v>2</v>
      </c>
      <c r="C9" s="5" t="s">
        <v>30</v>
      </c>
      <c r="D9" s="19">
        <v>526</v>
      </c>
    </row>
    <row r="10" spans="1:16" ht="15.75" x14ac:dyDescent="0.25">
      <c r="B10" s="59">
        <v>3</v>
      </c>
      <c r="C10" s="5" t="s">
        <v>2</v>
      </c>
      <c r="D10" s="19">
        <v>179</v>
      </c>
    </row>
    <row r="11" spans="1:16" ht="31.5" x14ac:dyDescent="0.25">
      <c r="B11" s="59">
        <v>4</v>
      </c>
      <c r="C11" s="4" t="s">
        <v>3</v>
      </c>
      <c r="D11" s="19">
        <v>11</v>
      </c>
    </row>
    <row r="12" spans="1:16" ht="15.75" x14ac:dyDescent="0.25">
      <c r="B12" s="59">
        <v>5</v>
      </c>
      <c r="C12" s="4" t="s">
        <v>4</v>
      </c>
      <c r="D12" s="19">
        <v>31</v>
      </c>
    </row>
    <row r="13" spans="1:16" ht="15.75" x14ac:dyDescent="0.25">
      <c r="B13" s="59">
        <v>6</v>
      </c>
      <c r="C13" s="4" t="s">
        <v>37</v>
      </c>
      <c r="D13" s="6">
        <v>0</v>
      </c>
    </row>
    <row r="14" spans="1:16" ht="15.75" x14ac:dyDescent="0.25">
      <c r="B14" s="59">
        <v>7</v>
      </c>
      <c r="C14" s="4" t="s">
        <v>38</v>
      </c>
      <c r="D14" s="19">
        <v>0</v>
      </c>
    </row>
    <row r="15" spans="1:16" ht="15.75" x14ac:dyDescent="0.25">
      <c r="B15" s="63" t="s">
        <v>23</v>
      </c>
      <c r="C15" s="63"/>
      <c r="D15" s="26">
        <f>SUM(D8+D10+D12+D9+D13+D11)</f>
        <v>1207</v>
      </c>
    </row>
    <row r="17" spans="2:7" ht="15.75" x14ac:dyDescent="0.25">
      <c r="B17" s="68" t="s">
        <v>34</v>
      </c>
      <c r="C17" s="69"/>
      <c r="D17" s="23">
        <v>1207</v>
      </c>
      <c r="G17" s="22" t="s">
        <v>45</v>
      </c>
    </row>
    <row r="18" spans="2:7" ht="15.75" x14ac:dyDescent="0.25">
      <c r="B18" s="68" t="s">
        <v>35</v>
      </c>
      <c r="C18" s="69"/>
      <c r="D18" s="23">
        <v>11</v>
      </c>
    </row>
    <row r="19" spans="2:7" ht="15.75" x14ac:dyDescent="0.25">
      <c r="B19" s="68" t="s">
        <v>39</v>
      </c>
      <c r="C19" s="69"/>
      <c r="D19" s="23">
        <v>31</v>
      </c>
    </row>
    <row r="20" spans="2:7" ht="15.75" x14ac:dyDescent="0.25">
      <c r="B20" s="68" t="s">
        <v>37</v>
      </c>
      <c r="C20" s="69"/>
      <c r="D20" s="23">
        <v>1</v>
      </c>
    </row>
    <row r="21" spans="2:7" ht="15.75" x14ac:dyDescent="0.25">
      <c r="B21" s="68" t="s">
        <v>38</v>
      </c>
      <c r="C21" s="69"/>
      <c r="D21" s="23">
        <v>0</v>
      </c>
      <c r="G21" s="21" t="s">
        <v>25</v>
      </c>
    </row>
    <row r="22" spans="2:7" ht="15.75" x14ac:dyDescent="0.25">
      <c r="B22" s="68" t="s">
        <v>36</v>
      </c>
      <c r="C22" s="69"/>
      <c r="D22" s="27">
        <f>(D17)-D18</f>
        <v>1196</v>
      </c>
    </row>
    <row r="25" spans="2:7" ht="15.75" x14ac:dyDescent="0.25">
      <c r="B25" s="20" t="s">
        <v>24</v>
      </c>
    </row>
    <row r="26" spans="2:7" ht="15.75" x14ac:dyDescent="0.25">
      <c r="B26" s="63" t="s">
        <v>9</v>
      </c>
      <c r="C26" s="63"/>
      <c r="D26" s="63"/>
    </row>
    <row r="27" spans="2:7" ht="15.75" x14ac:dyDescent="0.25">
      <c r="B27" s="57">
        <v>1</v>
      </c>
      <c r="C27" s="10" t="s">
        <v>5</v>
      </c>
      <c r="D27" s="11">
        <v>54</v>
      </c>
    </row>
    <row r="28" spans="2:7" ht="31.5" x14ac:dyDescent="0.25">
      <c r="B28" s="59">
        <v>2</v>
      </c>
      <c r="C28" s="12" t="s">
        <v>31</v>
      </c>
      <c r="D28" s="11">
        <v>880</v>
      </c>
    </row>
    <row r="29" spans="2:7" ht="15.75" x14ac:dyDescent="0.25">
      <c r="B29" s="57">
        <v>3</v>
      </c>
      <c r="C29" s="13" t="s">
        <v>6</v>
      </c>
      <c r="D29" s="14">
        <v>2</v>
      </c>
    </row>
    <row r="30" spans="2:7" ht="15.75" x14ac:dyDescent="0.25">
      <c r="B30" s="57">
        <v>4</v>
      </c>
      <c r="C30" s="10" t="s">
        <v>7</v>
      </c>
      <c r="D30" s="14">
        <v>61</v>
      </c>
    </row>
    <row r="31" spans="2:7" ht="15.75" x14ac:dyDescent="0.25">
      <c r="B31" s="71" t="s">
        <v>23</v>
      </c>
      <c r="C31" s="72"/>
      <c r="D31" s="59">
        <f>SUM(D27:D30)</f>
        <v>997</v>
      </c>
    </row>
    <row r="35" spans="2:13" x14ac:dyDescent="0.25">
      <c r="G35" s="73" t="s">
        <v>44</v>
      </c>
      <c r="H35" s="73"/>
      <c r="I35" s="73"/>
      <c r="J35" s="73"/>
      <c r="K35" s="73"/>
      <c r="L35" s="73"/>
      <c r="M35" s="73"/>
    </row>
    <row r="36" spans="2:13" x14ac:dyDescent="0.25">
      <c r="G36" s="73"/>
      <c r="H36" s="73"/>
      <c r="I36" s="73"/>
      <c r="J36" s="73"/>
      <c r="K36" s="73"/>
      <c r="L36" s="73"/>
      <c r="M36" s="73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70" t="s">
        <v>19</v>
      </c>
      <c r="C41" s="70"/>
      <c r="D41" s="70"/>
    </row>
    <row r="42" spans="2:13" ht="15.75" x14ac:dyDescent="0.25">
      <c r="B42" s="57">
        <v>1</v>
      </c>
      <c r="C42" s="10" t="s">
        <v>10</v>
      </c>
      <c r="D42" s="11">
        <v>24</v>
      </c>
    </row>
    <row r="43" spans="2:13" ht="15.75" x14ac:dyDescent="0.25">
      <c r="B43" s="57">
        <v>2</v>
      </c>
      <c r="C43" s="10" t="s">
        <v>11</v>
      </c>
      <c r="D43" s="11">
        <v>1071</v>
      </c>
    </row>
    <row r="44" spans="2:13" ht="15.75" x14ac:dyDescent="0.25">
      <c r="B44" s="57">
        <v>3</v>
      </c>
      <c r="C44" s="10" t="s">
        <v>33</v>
      </c>
      <c r="D44" s="11">
        <v>0</v>
      </c>
    </row>
    <row r="45" spans="2:13" ht="15.75" x14ac:dyDescent="0.25">
      <c r="B45" s="57">
        <v>4</v>
      </c>
      <c r="C45" s="10" t="s">
        <v>32</v>
      </c>
      <c r="D45" s="11">
        <v>112</v>
      </c>
    </row>
    <row r="46" spans="2:13" ht="15.75" x14ac:dyDescent="0.25">
      <c r="B46" s="57">
        <v>5</v>
      </c>
      <c r="C46" s="10" t="s">
        <v>12</v>
      </c>
      <c r="D46" s="11">
        <v>0</v>
      </c>
    </row>
    <row r="47" spans="2:13" ht="15.75" x14ac:dyDescent="0.25">
      <c r="B47" s="63" t="s">
        <v>23</v>
      </c>
      <c r="C47" s="63"/>
      <c r="D47" s="7">
        <f>SUM(D42:D46)</f>
        <v>1207</v>
      </c>
    </row>
    <row r="55" spans="2:7" ht="15.75" customHeight="1" x14ac:dyDescent="0.25">
      <c r="B55" s="20" t="s">
        <v>28</v>
      </c>
      <c r="G55" s="22" t="s">
        <v>45</v>
      </c>
    </row>
    <row r="56" spans="2:7" ht="15.75" x14ac:dyDescent="0.25">
      <c r="B56" s="63" t="s">
        <v>13</v>
      </c>
      <c r="C56" s="63"/>
      <c r="D56" s="63"/>
    </row>
    <row r="57" spans="2:7" ht="31.5" x14ac:dyDescent="0.25">
      <c r="B57" s="17">
        <v>1</v>
      </c>
      <c r="C57" s="18" t="s">
        <v>14</v>
      </c>
      <c r="D57" s="19">
        <v>9</v>
      </c>
    </row>
    <row r="58" spans="2:7" ht="31.5" x14ac:dyDescent="0.25">
      <c r="B58" s="17">
        <v>2</v>
      </c>
      <c r="C58" s="18" t="s">
        <v>15</v>
      </c>
      <c r="D58" s="19">
        <v>987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496</v>
      </c>
    </row>
    <row r="60" spans="2:7" ht="31.5" x14ac:dyDescent="0.25">
      <c r="B60" s="17">
        <v>4</v>
      </c>
      <c r="C60" s="18" t="s">
        <v>17</v>
      </c>
      <c r="D60" s="19">
        <v>1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74" t="s">
        <v>23</v>
      </c>
      <c r="C62" s="75"/>
      <c r="D62" s="57">
        <f>SUM(D57:D61)</f>
        <v>1493</v>
      </c>
      <c r="G62" s="22" t="s">
        <v>22</v>
      </c>
    </row>
    <row r="66" spans="7:13" x14ac:dyDescent="0.25">
      <c r="G66" s="73" t="s">
        <v>44</v>
      </c>
      <c r="H66" s="73"/>
      <c r="I66" s="73"/>
      <c r="J66" s="73"/>
      <c r="K66" s="73"/>
      <c r="L66" s="73"/>
      <c r="M66" s="73"/>
    </row>
    <row r="67" spans="7:13" x14ac:dyDescent="0.25">
      <c r="G67" s="73"/>
      <c r="H67" s="73"/>
      <c r="I67" s="73"/>
      <c r="J67" s="73"/>
      <c r="K67" s="73"/>
      <c r="L67" s="73"/>
      <c r="M67" s="73"/>
    </row>
  </sheetData>
  <mergeCells count="19">
    <mergeCell ref="B31:C31"/>
    <mergeCell ref="B47:C47"/>
    <mergeCell ref="B41:D41"/>
    <mergeCell ref="G35:M36"/>
    <mergeCell ref="G66:M67"/>
    <mergeCell ref="B62:C62"/>
    <mergeCell ref="B56:D56"/>
    <mergeCell ref="B7:D7"/>
    <mergeCell ref="B15:C15"/>
    <mergeCell ref="B26:D26"/>
    <mergeCell ref="B1:N1"/>
    <mergeCell ref="B2:N2"/>
    <mergeCell ref="B4:N4"/>
    <mergeCell ref="B22:C22"/>
    <mergeCell ref="B21:C21"/>
    <mergeCell ref="B18:C18"/>
    <mergeCell ref="B17:C17"/>
    <mergeCell ref="B19:C19"/>
    <mergeCell ref="B20:C20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7"/>
  <sheetViews>
    <sheetView tabSelected="1" workbookViewId="0">
      <selection activeCell="E12" sqref="E12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4.85546875" style="2" bestFit="1" customWidth="1"/>
    <col min="5" max="16384" width="11.42578125" style="2"/>
  </cols>
  <sheetData>
    <row r="1" spans="1:16" ht="133.5" customHeight="1" x14ac:dyDescent="0.25">
      <c r="A1" s="28"/>
      <c r="B1" s="64" t="s">
        <v>67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29"/>
      <c r="P1" s="1"/>
    </row>
    <row r="2" spans="1:16" ht="23.25" x14ac:dyDescent="0.35">
      <c r="A2" s="28"/>
      <c r="B2" s="65" t="s">
        <v>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28"/>
    </row>
    <row r="4" spans="1:16" ht="23.25" x14ac:dyDescent="0.35">
      <c r="B4" s="67" t="s">
        <v>66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</row>
    <row r="5" spans="1:16" ht="23.25" x14ac:dyDescent="0.35">
      <c r="B5" s="61"/>
      <c r="C5" s="61"/>
      <c r="D5" s="61"/>
      <c r="E5" s="61"/>
      <c r="F5" s="61"/>
      <c r="G5" s="21" t="s">
        <v>21</v>
      </c>
      <c r="H5" s="61"/>
      <c r="I5" s="61"/>
      <c r="J5" s="61"/>
      <c r="K5" s="61"/>
      <c r="L5" s="61"/>
      <c r="M5" s="61"/>
      <c r="N5" s="61"/>
    </row>
    <row r="6" spans="1:16" ht="23.25" x14ac:dyDescent="0.35">
      <c r="B6" s="20" t="s">
        <v>20</v>
      </c>
      <c r="E6" s="61"/>
      <c r="F6" s="61"/>
      <c r="G6" s="61"/>
      <c r="H6" s="61"/>
      <c r="I6" s="61"/>
      <c r="J6" s="61"/>
      <c r="K6" s="61"/>
      <c r="L6" s="61"/>
      <c r="M6" s="61"/>
      <c r="N6" s="61"/>
    </row>
    <row r="7" spans="1:16" ht="23.25" x14ac:dyDescent="0.35">
      <c r="B7" s="70" t="s">
        <v>8</v>
      </c>
      <c r="C7" s="70"/>
      <c r="D7" s="70"/>
      <c r="E7" s="61"/>
      <c r="F7" s="61"/>
      <c r="G7" s="61"/>
      <c r="H7" s="61"/>
      <c r="I7" s="61"/>
      <c r="J7" s="61"/>
      <c r="K7" s="61"/>
      <c r="L7" s="61"/>
      <c r="M7" s="61"/>
      <c r="N7" s="61"/>
    </row>
    <row r="8" spans="1:16" ht="23.25" x14ac:dyDescent="0.35">
      <c r="B8" s="62">
        <v>1</v>
      </c>
      <c r="C8" s="4" t="s">
        <v>1</v>
      </c>
      <c r="D8" s="19">
        <v>227</v>
      </c>
      <c r="E8" s="61"/>
      <c r="F8" s="61"/>
      <c r="G8" s="61"/>
      <c r="H8" s="61"/>
      <c r="I8" s="61"/>
      <c r="J8" s="61"/>
      <c r="K8" s="61"/>
      <c r="L8" s="61"/>
      <c r="M8" s="61"/>
      <c r="N8" s="61"/>
    </row>
    <row r="9" spans="1:16" ht="15.75" x14ac:dyDescent="0.25">
      <c r="B9" s="62">
        <v>2</v>
      </c>
      <c r="C9" s="5" t="s">
        <v>30</v>
      </c>
      <c r="D9" s="19">
        <v>238</v>
      </c>
    </row>
    <row r="10" spans="1:16" ht="15.75" x14ac:dyDescent="0.25">
      <c r="B10" s="62">
        <v>3</v>
      </c>
      <c r="C10" s="5" t="s">
        <v>2</v>
      </c>
      <c r="D10" s="19">
        <v>75</v>
      </c>
    </row>
    <row r="11" spans="1:16" ht="31.5" x14ac:dyDescent="0.25">
      <c r="B11" s="62">
        <v>4</v>
      </c>
      <c r="C11" s="4" t="s">
        <v>3</v>
      </c>
      <c r="D11" s="19">
        <v>3</v>
      </c>
    </row>
    <row r="12" spans="1:16" ht="15.75" x14ac:dyDescent="0.25">
      <c r="B12" s="62">
        <v>5</v>
      </c>
      <c r="C12" s="4" t="s">
        <v>4</v>
      </c>
      <c r="D12" s="19">
        <v>18</v>
      </c>
    </row>
    <row r="13" spans="1:16" ht="15.75" x14ac:dyDescent="0.25">
      <c r="B13" s="62">
        <v>6</v>
      </c>
      <c r="C13" s="4" t="s">
        <v>37</v>
      </c>
      <c r="D13" s="6">
        <v>0</v>
      </c>
    </row>
    <row r="14" spans="1:16" ht="15.75" x14ac:dyDescent="0.25">
      <c r="B14" s="62">
        <v>7</v>
      </c>
      <c r="C14" s="4" t="s">
        <v>38</v>
      </c>
      <c r="D14" s="19">
        <v>0</v>
      </c>
    </row>
    <row r="15" spans="1:16" ht="15.75" x14ac:dyDescent="0.25">
      <c r="B15" s="63" t="s">
        <v>23</v>
      </c>
      <c r="C15" s="63"/>
      <c r="D15" s="26">
        <f>SUM(D8+D10+D9+D13+D11)</f>
        <v>543</v>
      </c>
    </row>
    <row r="17" spans="2:7" ht="15.75" x14ac:dyDescent="0.25">
      <c r="B17" s="68" t="s">
        <v>34</v>
      </c>
      <c r="C17" s="69"/>
      <c r="D17" s="23">
        <v>543</v>
      </c>
      <c r="G17" s="22" t="s">
        <v>45</v>
      </c>
    </row>
    <row r="18" spans="2:7" ht="15.75" x14ac:dyDescent="0.25">
      <c r="B18" s="68" t="s">
        <v>35</v>
      </c>
      <c r="C18" s="69"/>
      <c r="D18" s="23">
        <v>3</v>
      </c>
    </row>
    <row r="19" spans="2:7" ht="15.75" x14ac:dyDescent="0.25">
      <c r="B19" s="68" t="s">
        <v>39</v>
      </c>
      <c r="C19" s="69"/>
      <c r="D19" s="23">
        <v>18</v>
      </c>
    </row>
    <row r="20" spans="2:7" ht="15.75" x14ac:dyDescent="0.25">
      <c r="B20" s="68" t="s">
        <v>37</v>
      </c>
      <c r="C20" s="69"/>
      <c r="D20" s="23">
        <v>0</v>
      </c>
    </row>
    <row r="21" spans="2:7" ht="15.75" x14ac:dyDescent="0.25">
      <c r="B21" s="68" t="s">
        <v>38</v>
      </c>
      <c r="C21" s="69"/>
      <c r="D21" s="23">
        <v>0</v>
      </c>
      <c r="G21" s="21" t="s">
        <v>25</v>
      </c>
    </row>
    <row r="22" spans="2:7" ht="15.75" x14ac:dyDescent="0.25">
      <c r="B22" s="68" t="s">
        <v>36</v>
      </c>
      <c r="C22" s="69"/>
      <c r="D22" s="27">
        <f>(D17)-D18</f>
        <v>540</v>
      </c>
    </row>
    <row r="25" spans="2:7" ht="15.75" x14ac:dyDescent="0.25">
      <c r="B25" s="20" t="s">
        <v>24</v>
      </c>
    </row>
    <row r="26" spans="2:7" ht="15.75" x14ac:dyDescent="0.25">
      <c r="B26" s="63" t="s">
        <v>9</v>
      </c>
      <c r="C26" s="63"/>
      <c r="D26" s="63"/>
    </row>
    <row r="27" spans="2:7" ht="15.75" x14ac:dyDescent="0.25">
      <c r="B27" s="60">
        <v>1</v>
      </c>
      <c r="C27" s="10" t="s">
        <v>5</v>
      </c>
      <c r="D27" s="11">
        <v>29</v>
      </c>
    </row>
    <row r="28" spans="2:7" ht="31.5" x14ac:dyDescent="0.25">
      <c r="B28" s="62">
        <v>2</v>
      </c>
      <c r="C28" s="12" t="s">
        <v>31</v>
      </c>
      <c r="D28" s="11">
        <v>414</v>
      </c>
    </row>
    <row r="29" spans="2:7" ht="15.75" x14ac:dyDescent="0.25">
      <c r="B29" s="60">
        <v>3</v>
      </c>
      <c r="C29" s="13" t="s">
        <v>6</v>
      </c>
      <c r="D29" s="14">
        <v>1</v>
      </c>
    </row>
    <row r="30" spans="2:7" ht="15.75" x14ac:dyDescent="0.25">
      <c r="B30" s="60">
        <v>4</v>
      </c>
      <c r="C30" s="10" t="s">
        <v>7</v>
      </c>
      <c r="D30" s="14">
        <v>21</v>
      </c>
    </row>
    <row r="31" spans="2:7" ht="15.75" x14ac:dyDescent="0.25">
      <c r="B31" s="71" t="s">
        <v>23</v>
      </c>
      <c r="C31" s="72"/>
      <c r="D31" s="62">
        <f>SUM(D27:D30)</f>
        <v>465</v>
      </c>
    </row>
    <row r="35" spans="2:13" x14ac:dyDescent="0.25">
      <c r="G35" s="73" t="s">
        <v>44</v>
      </c>
      <c r="H35" s="73"/>
      <c r="I35" s="73"/>
      <c r="J35" s="73"/>
      <c r="K35" s="73"/>
      <c r="L35" s="73"/>
      <c r="M35" s="73"/>
    </row>
    <row r="36" spans="2:13" x14ac:dyDescent="0.25">
      <c r="G36" s="73"/>
      <c r="H36" s="73"/>
      <c r="I36" s="73"/>
      <c r="J36" s="73"/>
      <c r="K36" s="73"/>
      <c r="L36" s="73"/>
      <c r="M36" s="73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70" t="s">
        <v>19</v>
      </c>
      <c r="C41" s="70"/>
      <c r="D41" s="70"/>
    </row>
    <row r="42" spans="2:13" ht="15.75" x14ac:dyDescent="0.25">
      <c r="B42" s="60">
        <v>1</v>
      </c>
      <c r="C42" s="10" t="s">
        <v>10</v>
      </c>
      <c r="D42" s="11">
        <v>12</v>
      </c>
    </row>
    <row r="43" spans="2:13" ht="15.75" x14ac:dyDescent="0.25">
      <c r="B43" s="60">
        <v>2</v>
      </c>
      <c r="C43" s="10" t="s">
        <v>11</v>
      </c>
      <c r="D43" s="11">
        <v>500</v>
      </c>
    </row>
    <row r="44" spans="2:13" ht="15.75" x14ac:dyDescent="0.25">
      <c r="B44" s="60">
        <v>3</v>
      </c>
      <c r="C44" s="10" t="s">
        <v>33</v>
      </c>
      <c r="D44" s="11">
        <v>0</v>
      </c>
    </row>
    <row r="45" spans="2:13" ht="15.75" x14ac:dyDescent="0.25">
      <c r="B45" s="60">
        <v>4</v>
      </c>
      <c r="C45" s="10" t="s">
        <v>32</v>
      </c>
      <c r="D45" s="11">
        <v>31</v>
      </c>
    </row>
    <row r="46" spans="2:13" ht="15.75" x14ac:dyDescent="0.25">
      <c r="B46" s="60">
        <v>5</v>
      </c>
      <c r="C46" s="10" t="s">
        <v>12</v>
      </c>
      <c r="D46" s="11">
        <v>0</v>
      </c>
    </row>
    <row r="47" spans="2:13" ht="15.75" x14ac:dyDescent="0.25">
      <c r="B47" s="63" t="s">
        <v>23</v>
      </c>
      <c r="C47" s="63"/>
      <c r="D47" s="7">
        <f>SUM(D42:D46)</f>
        <v>543</v>
      </c>
    </row>
    <row r="55" spans="2:7" ht="15.75" customHeight="1" x14ac:dyDescent="0.25">
      <c r="B55" s="20" t="s">
        <v>28</v>
      </c>
      <c r="G55" s="22" t="s">
        <v>45</v>
      </c>
    </row>
    <row r="56" spans="2:7" ht="15.75" x14ac:dyDescent="0.25">
      <c r="B56" s="63" t="s">
        <v>13</v>
      </c>
      <c r="C56" s="63"/>
      <c r="D56" s="63"/>
    </row>
    <row r="57" spans="2:7" ht="31.5" x14ac:dyDescent="0.25">
      <c r="B57" s="17">
        <v>1</v>
      </c>
      <c r="C57" s="18" t="s">
        <v>14</v>
      </c>
      <c r="D57" s="19">
        <v>1</v>
      </c>
    </row>
    <row r="58" spans="2:7" ht="31.5" x14ac:dyDescent="0.25">
      <c r="B58" s="17">
        <v>2</v>
      </c>
      <c r="C58" s="18" t="s">
        <v>15</v>
      </c>
      <c r="D58" s="19">
        <v>464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284</v>
      </c>
    </row>
    <row r="60" spans="2:7" ht="31.5" x14ac:dyDescent="0.25">
      <c r="B60" s="17">
        <v>4</v>
      </c>
      <c r="C60" s="18" t="s">
        <v>17</v>
      </c>
      <c r="D60" s="19">
        <v>0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74" t="s">
        <v>23</v>
      </c>
      <c r="C62" s="75"/>
      <c r="D62" s="60">
        <f>SUM(D57:D61)</f>
        <v>749</v>
      </c>
      <c r="G62" s="22" t="s">
        <v>22</v>
      </c>
    </row>
    <row r="66" spans="7:13" x14ac:dyDescent="0.25">
      <c r="G66" s="73" t="s">
        <v>44</v>
      </c>
      <c r="H66" s="73"/>
      <c r="I66" s="73"/>
      <c r="J66" s="73"/>
      <c r="K66" s="73"/>
      <c r="L66" s="73"/>
      <c r="M66" s="73"/>
    </row>
    <row r="67" spans="7:13" x14ac:dyDescent="0.25">
      <c r="G67" s="73"/>
      <c r="H67" s="73"/>
      <c r="I67" s="73"/>
      <c r="J67" s="73"/>
      <c r="K67" s="73"/>
      <c r="L67" s="73"/>
      <c r="M67" s="73"/>
    </row>
  </sheetData>
  <mergeCells count="19">
    <mergeCell ref="B1:N1"/>
    <mergeCell ref="B2:N2"/>
    <mergeCell ref="B4:N4"/>
    <mergeCell ref="B22:C22"/>
    <mergeCell ref="B21:C21"/>
    <mergeCell ref="B18:C18"/>
    <mergeCell ref="B17:C17"/>
    <mergeCell ref="B19:C19"/>
    <mergeCell ref="B20:C20"/>
    <mergeCell ref="G66:M67"/>
    <mergeCell ref="B62:C62"/>
    <mergeCell ref="B56:D56"/>
    <mergeCell ref="B7:D7"/>
    <mergeCell ref="B15:C15"/>
    <mergeCell ref="B31:C31"/>
    <mergeCell ref="B47:C47"/>
    <mergeCell ref="B41:D41"/>
    <mergeCell ref="G35:M36"/>
    <mergeCell ref="B26:D26"/>
  </mergeCells>
  <pageMargins left="0.7" right="0.7" top="0.75" bottom="0.75" header="0.3" footer="0.3"/>
  <pageSetup scale="68" fitToHeight="0" orientation="landscape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Enero22</vt:lpstr>
      <vt:lpstr>Febrero22</vt:lpstr>
      <vt:lpstr>Marzo22</vt:lpstr>
      <vt:lpstr>Abril22</vt:lpstr>
      <vt:lpstr>Mayo22</vt:lpstr>
      <vt:lpstr>Junio22</vt:lpstr>
      <vt:lpstr>Julio22</vt:lpstr>
      <vt:lpstr>Agosto22</vt:lpstr>
      <vt:lpstr>Septiembre22</vt:lpstr>
      <vt:lpstr>Octubre22</vt:lpstr>
      <vt:lpstr>Noviembre22</vt:lpstr>
      <vt:lpstr>Diciembre22</vt:lpstr>
    </vt:vector>
  </TitlesOfParts>
  <Company>GP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cpu</dc:creator>
  <cp:lastModifiedBy>Cano Maldonado Jair Benjamin</cp:lastModifiedBy>
  <cp:lastPrinted>2022-02-14T18:32:27Z</cp:lastPrinted>
  <dcterms:created xsi:type="dcterms:W3CDTF">2018-02-21T05:25:03Z</dcterms:created>
  <dcterms:modified xsi:type="dcterms:W3CDTF">2023-01-13T20:15:14Z</dcterms:modified>
</cp:coreProperties>
</file>