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wdp" ContentType="image/vnd.ms-photo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5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drawings/drawing6.xml" ContentType="application/vnd.openxmlformats-officedocument.drawing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drawings/drawing7.xml" ContentType="application/vnd.openxmlformats-officedocument.drawing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8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9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0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charts/chart40.xml" ContentType="application/vnd.openxmlformats-officedocument.drawingml.chart+xml"/>
  <Override PartName="/xl/drawings/drawing11.xml" ContentType="application/vnd.openxmlformats-officedocument.drawing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drawings/drawing12.xml" ContentType="application/vnd.openxmlformats-officedocument.drawing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30" windowWidth="18915" windowHeight="11010" activeTab="11"/>
  </bookViews>
  <sheets>
    <sheet name="Enero23" sheetId="1" r:id="rId1"/>
    <sheet name="Febrero23" sheetId="2" r:id="rId2"/>
    <sheet name="Marzo23" sheetId="3" r:id="rId3"/>
    <sheet name="Abril23" sheetId="4" r:id="rId4"/>
    <sheet name="Mayo23" sheetId="5" r:id="rId5"/>
    <sheet name="Junio23" sheetId="6" r:id="rId6"/>
    <sheet name="Julio23" sheetId="7" r:id="rId7"/>
    <sheet name="Agosto23" sheetId="8" r:id="rId8"/>
    <sheet name="Septiembre23" sheetId="9" r:id="rId9"/>
    <sheet name="Octubre23" sheetId="10" r:id="rId10"/>
    <sheet name="Noviembre23" sheetId="11" r:id="rId11"/>
    <sheet name="Diciembre23" sheetId="12" r:id="rId12"/>
  </sheets>
  <externalReferences>
    <externalReference r:id="rId13"/>
  </externalReferences>
  <calcPr calcId="145621"/>
</workbook>
</file>

<file path=xl/calcChain.xml><?xml version="1.0" encoding="utf-8"?>
<calcChain xmlns="http://schemas.openxmlformats.org/spreadsheetml/2006/main">
  <c r="D15" i="12" l="1"/>
  <c r="D22" i="12"/>
  <c r="D31" i="12"/>
  <c r="D47" i="12"/>
  <c r="D15" i="11" l="1"/>
  <c r="D22" i="11"/>
  <c r="D31" i="11"/>
  <c r="D47" i="11"/>
  <c r="D15" i="10" l="1"/>
  <c r="D22" i="10"/>
  <c r="D31" i="10"/>
  <c r="D47" i="10"/>
  <c r="D15" i="9" l="1"/>
  <c r="D22" i="9"/>
  <c r="D31" i="9"/>
  <c r="D47" i="9"/>
  <c r="D15" i="8" l="1"/>
  <c r="D22" i="8"/>
  <c r="D31" i="8"/>
  <c r="D47" i="8"/>
  <c r="D15" i="7" l="1"/>
  <c r="D22" i="7"/>
  <c r="D31" i="7"/>
  <c r="D47" i="7"/>
  <c r="D62" i="7"/>
  <c r="D15" i="6" l="1"/>
  <c r="D22" i="6"/>
  <c r="D31" i="6"/>
  <c r="D47" i="6"/>
  <c r="D62" i="6"/>
  <c r="D15" i="5" l="1"/>
  <c r="D22" i="5"/>
  <c r="D31" i="5"/>
  <c r="D47" i="5"/>
  <c r="D62" i="5"/>
  <c r="D15" i="4" l="1"/>
  <c r="D22" i="4"/>
  <c r="D31" i="4"/>
  <c r="D47" i="4"/>
  <c r="D62" i="4"/>
  <c r="D15" i="3" l="1"/>
  <c r="D22" i="3"/>
  <c r="D31" i="3"/>
  <c r="D47" i="3"/>
  <c r="D62" i="3"/>
  <c r="D62" i="2" l="1"/>
  <c r="D47" i="2"/>
  <c r="D31" i="2"/>
  <c r="D22" i="2"/>
  <c r="D15" i="2"/>
  <c r="D15" i="1" l="1"/>
  <c r="D47" i="1" l="1"/>
  <c r="D22" i="1"/>
  <c r="D62" i="1" l="1"/>
  <c r="D31" i="1" l="1"/>
</calcChain>
</file>

<file path=xl/sharedStrings.xml><?xml version="1.0" encoding="utf-8"?>
<sst xmlns="http://schemas.openxmlformats.org/spreadsheetml/2006/main" count="607" uniqueCount="69">
  <si>
    <t>DIRECCIÓN DE TRANSPARENCIA Y BUENAS PRÁCTICAS DEL GOBIERNO DE GUADALAJARA</t>
  </si>
  <si>
    <t>Afirmativa</t>
  </si>
  <si>
    <t>Negativa</t>
  </si>
  <si>
    <t>Acuerdos de no competencia</t>
  </si>
  <si>
    <t>Prevenciones</t>
  </si>
  <si>
    <t xml:space="preserve">Fundamental        </t>
  </si>
  <si>
    <t xml:space="preserve">Reservada              </t>
  </si>
  <si>
    <t xml:space="preserve">Confidencial            </t>
  </si>
  <si>
    <t>Tipo de respuesta</t>
  </si>
  <si>
    <t>Tipo de información</t>
  </si>
  <si>
    <t>Personales</t>
  </si>
  <si>
    <t>Electrónicas</t>
  </si>
  <si>
    <t>Estrados</t>
  </si>
  <si>
    <t>Medios de Acceso a la Información</t>
  </si>
  <si>
    <t>Consulta directa personal</t>
  </si>
  <si>
    <t>Consulta directa electrónica</t>
  </si>
  <si>
    <t>Reproducción de documentos</t>
  </si>
  <si>
    <t>Elaboración de informes</t>
  </si>
  <si>
    <t>Combinación de las anteriores</t>
  </si>
  <si>
    <t>Clasificación</t>
  </si>
  <si>
    <t>Tabla número 1.0</t>
  </si>
  <si>
    <t>Gráfica número 1.0</t>
  </si>
  <si>
    <t>Nota: Elaboración propia con datos del control de registro de solicitudes 2018.</t>
  </si>
  <si>
    <t>Total</t>
  </si>
  <si>
    <t>Tabla número 2.0</t>
  </si>
  <si>
    <t>Gráfica número 2.0</t>
  </si>
  <si>
    <t>Tabla número 3.0</t>
  </si>
  <si>
    <t>Gráfica número 3.0</t>
  </si>
  <si>
    <t>Tabla número 4.0</t>
  </si>
  <si>
    <t>Gráfica número 4.0</t>
  </si>
  <si>
    <t>Afirmativa parcial</t>
  </si>
  <si>
    <t>Ordinaria y de libre acceso</t>
  </si>
  <si>
    <t>Correo electrónico</t>
  </si>
  <si>
    <t>Telefónica</t>
  </si>
  <si>
    <t xml:space="preserve">Total de solicitudes </t>
  </si>
  <si>
    <t xml:space="preserve">Acuerdo de no competencia </t>
  </si>
  <si>
    <t xml:space="preserve">Total </t>
  </si>
  <si>
    <t>Canceladas</t>
  </si>
  <si>
    <t>Derecho ARCO</t>
  </si>
  <si>
    <t>Prevenciones (No respondio)</t>
  </si>
  <si>
    <t>Nota: Elaboración propia con datos del control de registro de solicitudes 2022. Corresponden a la suma de solicitudes Afirmativa y Afirmativa parcial</t>
  </si>
  <si>
    <t>Nota: Elaboración propia con datos del control de registro de solicitudes 2022.</t>
  </si>
  <si>
    <t xml:space="preserve">       INFORMACIÓN ESTADÍSTICA - ENERO 2023                                                                                                                         </t>
  </si>
  <si>
    <t>Solicitudes del mes de ENERO de 2023</t>
  </si>
  <si>
    <t xml:space="preserve">       INFORMACIÓN ESTADÍSTICA - FEBRERO 2023                                                                                                                         </t>
  </si>
  <si>
    <t>Solicitudes del mes de FEBRERO de 2023</t>
  </si>
  <si>
    <t>Nota: Elaboración propia con datos del control de registro de solicitudes 2023.</t>
  </si>
  <si>
    <t>Nota: Elaboración propia con datos del control de registro de solicitudes 2023. Corresponden a la suma de solicitudes Afirmativa y Afirmativa parcial</t>
  </si>
  <si>
    <t>Nota: Elaboración propia con datos del control de registro de solicitudes 2023. Corresponden a la suma de solicitudes Afirmativa y Afirmativa parcial, así como número de soliciutdes que requirieron reproducción de documentos.</t>
  </si>
  <si>
    <t>Solicitudes del mes de MARZO de 2023</t>
  </si>
  <si>
    <t xml:space="preserve">       INFORMACIÓN ESTADÍSTICA - MARZO 2023                                                                                                                         </t>
  </si>
  <si>
    <t>Solicitudes del mes de ABRIL de 2023</t>
  </si>
  <si>
    <t xml:space="preserve">       INFORMACIÓN ESTADÍSTICA - ABRIL 2023                                                                                                                         </t>
  </si>
  <si>
    <t>Solicitudes del mes de MAYO de 2023</t>
  </si>
  <si>
    <t xml:space="preserve">       INFORMACIÓN ESTADÍSTICA - MAYO 2023                                                                                                                         </t>
  </si>
  <si>
    <t>Solicitudes del mes de JUNIO de 2023</t>
  </si>
  <si>
    <t xml:space="preserve">       INFORMACIÓN ESTADÍSTICA - JUNIO 2023                                                                                                                         </t>
  </si>
  <si>
    <t>Solicitudes del mes de JULIO de 2023</t>
  </si>
  <si>
    <t xml:space="preserve">       INFORMACIÓN ESTADÍSTICA - JULIO 2023                                                                                                                         </t>
  </si>
  <si>
    <t>Solicitudes del mes de AGOSTO de 2023</t>
  </si>
  <si>
    <t xml:space="preserve">       INFORMACIÓN ESTADÍSTICA - AGOSTO 2023                                                                                                                         </t>
  </si>
  <si>
    <t>Solicitudes del mes de SEPTIEMBRE de 2023</t>
  </si>
  <si>
    <t xml:space="preserve">       INFORMACIÓN ESTADÍSTICA - SEPTIEMBRE 2023                                                                                                                         </t>
  </si>
  <si>
    <t>Solicitudes del mes de OCTUBRE de 2023</t>
  </si>
  <si>
    <t xml:space="preserve">       INFORMACIÓN ESTADÍSTICA - OCTUBRE 2023                                                                                                                         </t>
  </si>
  <si>
    <t>Solicitudes del mes de NOVIEMBRE de 2023</t>
  </si>
  <si>
    <t xml:space="preserve">       INFORMACIÓN ESTADÍSTICA - NOVIEMBRE 2023                                                                                                                         </t>
  </si>
  <si>
    <t>Solicitudes del mes de DICIEMBRE de 2023</t>
  </si>
  <si>
    <t xml:space="preserve">       INFORMACIÓN ESTADÍSTICA - DICIEMBRE 2023                          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</si>
</sst>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20"/>
      <color theme="1"/>
      <name val="Times New Roman"/>
      <family val="1"/>
    </font>
    <font>
      <sz val="18"/>
      <color theme="1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b/>
      <sz val="1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/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 vertical="center" wrapText="1"/>
    </xf>
    <xf numFmtId="0" fontId="7" fillId="0" borderId="1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left"/>
    </xf>
    <xf numFmtId="0" fontId="8" fillId="0" borderId="0" xfId="0" applyFont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0" fillId="3" borderId="0" xfId="0" applyFill="1"/>
    <xf numFmtId="0" fontId="1" fillId="3" borderId="0" xfId="0" applyFont="1" applyFill="1" applyAlignment="1">
      <alignment vertical="center" wrapText="1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7" fillId="0" borderId="0" xfId="0" applyFont="1" applyBorder="1" applyAlignment="1">
      <alignment horizontal="center"/>
    </xf>
    <xf numFmtId="0" fontId="7" fillId="2" borderId="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0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7" fillId="0" borderId="2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8" fillId="0" borderId="0" xfId="0" applyFont="1" applyAlignment="1">
      <alignment horizontal="center" wrapText="1"/>
    </xf>
    <xf numFmtId="9" fontId="4" fillId="0" borderId="2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Enero23!$C$8:$C$14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Enero23!$D$8:$D$14</c:f>
              <c:numCache>
                <c:formatCode>General</c:formatCode>
                <c:ptCount val="7"/>
                <c:pt idx="0">
                  <c:v>618</c:v>
                </c:pt>
                <c:pt idx="1">
                  <c:v>791</c:v>
                </c:pt>
                <c:pt idx="2">
                  <c:v>275</c:v>
                </c:pt>
                <c:pt idx="3">
                  <c:v>8</c:v>
                </c:pt>
                <c:pt idx="4">
                  <c:v>82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69055232"/>
        <c:axId val="69056768"/>
      </c:barChart>
      <c:catAx>
        <c:axId val="6905523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69056768"/>
        <c:crosses val="autoZero"/>
        <c:auto val="1"/>
        <c:lblAlgn val="ctr"/>
        <c:lblOffset val="100"/>
        <c:noMultiLvlLbl val="0"/>
      </c:catAx>
      <c:valAx>
        <c:axId val="690567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690552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Enero23!$C$27:$C$30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Enero23!$D$27:$D$30</c:f>
              <c:numCache>
                <c:formatCode>General</c:formatCode>
                <c:ptCount val="4"/>
                <c:pt idx="0">
                  <c:v>43</c:v>
                </c:pt>
                <c:pt idx="1">
                  <c:v>1334</c:v>
                </c:pt>
                <c:pt idx="2">
                  <c:v>0</c:v>
                </c:pt>
                <c:pt idx="3">
                  <c:v>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662016"/>
        <c:axId val="70663552"/>
      </c:barChart>
      <c:catAx>
        <c:axId val="706620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70663552"/>
        <c:crosses val="autoZero"/>
        <c:auto val="1"/>
        <c:lblAlgn val="r"/>
        <c:lblOffset val="100"/>
        <c:noMultiLvlLbl val="0"/>
      </c:catAx>
      <c:valAx>
        <c:axId val="706635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06620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Enero23!$C$42:$C$46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Enero23!$D$42:$D$46</c:f>
              <c:numCache>
                <c:formatCode>General</c:formatCode>
                <c:ptCount val="5"/>
                <c:pt idx="0">
                  <c:v>48</c:v>
                </c:pt>
                <c:pt idx="1">
                  <c:v>1524</c:v>
                </c:pt>
                <c:pt idx="2">
                  <c:v>0</c:v>
                </c:pt>
                <c:pt idx="3">
                  <c:v>202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684032"/>
        <c:axId val="70685824"/>
      </c:barChart>
      <c:catAx>
        <c:axId val="706840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0685824"/>
        <c:crosses val="autoZero"/>
        <c:auto val="1"/>
        <c:lblAlgn val="ctr"/>
        <c:lblOffset val="100"/>
        <c:noMultiLvlLbl val="0"/>
      </c:catAx>
      <c:valAx>
        <c:axId val="706858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068403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Enero23!$C$57:$C$61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Enero23!$D$57:$D$61</c:f>
              <c:numCache>
                <c:formatCode>General</c:formatCode>
                <c:ptCount val="5"/>
                <c:pt idx="0">
                  <c:v>2</c:v>
                </c:pt>
                <c:pt idx="1">
                  <c:v>712</c:v>
                </c:pt>
                <c:pt idx="2">
                  <c:v>695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710400"/>
        <c:axId val="70711936"/>
      </c:barChart>
      <c:catAx>
        <c:axId val="707104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0711936"/>
        <c:crosses val="autoZero"/>
        <c:auto val="1"/>
        <c:lblAlgn val="ctr"/>
        <c:lblOffset val="100"/>
        <c:noMultiLvlLbl val="0"/>
      </c:catAx>
      <c:valAx>
        <c:axId val="707119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07104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'[1]hoja 1'!$C$8:$C$14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'[1]hoja 1'!$D$8:$D$14</c:f>
              <c:numCache>
                <c:formatCode>General</c:formatCode>
                <c:ptCount val="7"/>
                <c:pt idx="0">
                  <c:v>488</c:v>
                </c:pt>
                <c:pt idx="1">
                  <c:v>676</c:v>
                </c:pt>
                <c:pt idx="2">
                  <c:v>300</c:v>
                </c:pt>
                <c:pt idx="3">
                  <c:v>20</c:v>
                </c:pt>
                <c:pt idx="4">
                  <c:v>48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4145152"/>
        <c:axId val="74172672"/>
      </c:barChart>
      <c:catAx>
        <c:axId val="7414515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74172672"/>
        <c:crosses val="autoZero"/>
        <c:auto val="1"/>
        <c:lblAlgn val="ctr"/>
        <c:lblOffset val="100"/>
        <c:noMultiLvlLbl val="0"/>
      </c:catAx>
      <c:valAx>
        <c:axId val="7417267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1451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'[1]hoja 1'!$C$27:$C$30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'[1]hoja 1'!$D$27:$D$30</c:f>
              <c:numCache>
                <c:formatCode>General</c:formatCode>
                <c:ptCount val="4"/>
                <c:pt idx="0">
                  <c:v>30</c:v>
                </c:pt>
                <c:pt idx="1">
                  <c:v>1098</c:v>
                </c:pt>
                <c:pt idx="2">
                  <c:v>1</c:v>
                </c:pt>
                <c:pt idx="3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209536"/>
        <c:axId val="74211328"/>
      </c:barChart>
      <c:catAx>
        <c:axId val="742095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74211328"/>
        <c:crosses val="autoZero"/>
        <c:auto val="1"/>
        <c:lblAlgn val="r"/>
        <c:lblOffset val="100"/>
        <c:noMultiLvlLbl val="0"/>
      </c:catAx>
      <c:valAx>
        <c:axId val="742113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42095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'[1]hoja 1'!$C$42:$C$46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'[1]hoja 1'!$D$42:$D$46</c:f>
              <c:numCache>
                <c:formatCode>General</c:formatCode>
                <c:ptCount val="5"/>
                <c:pt idx="0">
                  <c:v>22</c:v>
                </c:pt>
                <c:pt idx="1">
                  <c:v>1407</c:v>
                </c:pt>
                <c:pt idx="2">
                  <c:v>0</c:v>
                </c:pt>
                <c:pt idx="3">
                  <c:v>55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223616"/>
        <c:axId val="74225152"/>
      </c:barChart>
      <c:catAx>
        <c:axId val="7422361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4225152"/>
        <c:crosses val="autoZero"/>
        <c:auto val="1"/>
        <c:lblAlgn val="ctr"/>
        <c:lblOffset val="100"/>
        <c:noMultiLvlLbl val="0"/>
      </c:catAx>
      <c:valAx>
        <c:axId val="7422515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422361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'[1]hoja 1'!$C$57:$C$61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'[1]hoja 1'!$D$57:$D$61</c:f>
              <c:numCache>
                <c:formatCode>General</c:formatCode>
                <c:ptCount val="5"/>
                <c:pt idx="0">
                  <c:v>11</c:v>
                </c:pt>
                <c:pt idx="1">
                  <c:v>1153</c:v>
                </c:pt>
                <c:pt idx="2">
                  <c:v>594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270208"/>
        <c:axId val="74271744"/>
      </c:barChart>
      <c:catAx>
        <c:axId val="74270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4271744"/>
        <c:crosses val="autoZero"/>
        <c:auto val="1"/>
        <c:lblAlgn val="ctr"/>
        <c:lblOffset val="100"/>
        <c:noMultiLvlLbl val="0"/>
      </c:catAx>
      <c:valAx>
        <c:axId val="742717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427020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Marzo23!$C$8:$C$14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Marzo23!$D$8:$D$14</c:f>
              <c:numCache>
                <c:formatCode>General</c:formatCode>
                <c:ptCount val="7"/>
                <c:pt idx="0">
                  <c:v>637</c:v>
                </c:pt>
                <c:pt idx="1">
                  <c:v>626</c:v>
                </c:pt>
                <c:pt idx="2">
                  <c:v>326</c:v>
                </c:pt>
                <c:pt idx="3">
                  <c:v>20</c:v>
                </c:pt>
                <c:pt idx="4">
                  <c:v>81</c:v>
                </c:pt>
                <c:pt idx="5" formatCode="0">
                  <c:v>0</c:v>
                </c:pt>
                <c:pt idx="6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4359168"/>
        <c:axId val="74361856"/>
      </c:barChart>
      <c:catAx>
        <c:axId val="74359168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74361856"/>
        <c:crosses val="autoZero"/>
        <c:auto val="1"/>
        <c:lblAlgn val="ctr"/>
        <c:lblOffset val="100"/>
        <c:noMultiLvlLbl val="0"/>
      </c:catAx>
      <c:valAx>
        <c:axId val="743618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435916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Marzo23!$C$27:$C$30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Marzo23!$D$27:$D$30</c:f>
              <c:numCache>
                <c:formatCode>General</c:formatCode>
                <c:ptCount val="4"/>
                <c:pt idx="0">
                  <c:v>31</c:v>
                </c:pt>
                <c:pt idx="1">
                  <c:v>1184</c:v>
                </c:pt>
                <c:pt idx="2">
                  <c:v>1</c:v>
                </c:pt>
                <c:pt idx="3">
                  <c:v>47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4382336"/>
        <c:axId val="168706816"/>
      </c:barChart>
      <c:catAx>
        <c:axId val="743823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68706816"/>
        <c:crosses val="autoZero"/>
        <c:auto val="1"/>
        <c:lblAlgn val="r"/>
        <c:lblOffset val="100"/>
        <c:noMultiLvlLbl val="0"/>
      </c:catAx>
      <c:valAx>
        <c:axId val="1687068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43823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Marzo23!$C$42:$C$46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Marzo23!$D$42:$D$46</c:f>
              <c:numCache>
                <c:formatCode>General</c:formatCode>
                <c:ptCount val="5"/>
                <c:pt idx="0">
                  <c:v>44</c:v>
                </c:pt>
                <c:pt idx="1">
                  <c:v>1499</c:v>
                </c:pt>
                <c:pt idx="2">
                  <c:v>0</c:v>
                </c:pt>
                <c:pt idx="3">
                  <c:v>66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731392"/>
        <c:axId val="168732928"/>
      </c:barChart>
      <c:catAx>
        <c:axId val="16873139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68732928"/>
        <c:crosses val="autoZero"/>
        <c:auto val="1"/>
        <c:lblAlgn val="ctr"/>
        <c:lblOffset val="100"/>
        <c:noMultiLvlLbl val="0"/>
      </c:catAx>
      <c:valAx>
        <c:axId val="1687329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873139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Marzo23!$C$57:$C$61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Marzo23!$D$57:$D$61</c:f>
              <c:numCache>
                <c:formatCode>General</c:formatCode>
                <c:ptCount val="5"/>
                <c:pt idx="0">
                  <c:v>1</c:v>
                </c:pt>
                <c:pt idx="1">
                  <c:v>1262</c:v>
                </c:pt>
                <c:pt idx="2">
                  <c:v>655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8749312"/>
        <c:axId val="170160128"/>
      </c:barChart>
      <c:catAx>
        <c:axId val="168749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0160128"/>
        <c:crosses val="autoZero"/>
        <c:auto val="1"/>
        <c:lblAlgn val="ctr"/>
        <c:lblOffset val="100"/>
        <c:noMultiLvlLbl val="0"/>
      </c:catAx>
      <c:valAx>
        <c:axId val="17016012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687493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Abril23!$C$8:$C$14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Abril23!$D$8:$D$14</c:f>
              <c:numCache>
                <c:formatCode>General</c:formatCode>
                <c:ptCount val="7"/>
                <c:pt idx="0">
                  <c:v>437</c:v>
                </c:pt>
                <c:pt idx="1">
                  <c:v>475</c:v>
                </c:pt>
                <c:pt idx="2">
                  <c:v>208</c:v>
                </c:pt>
                <c:pt idx="3">
                  <c:v>19</c:v>
                </c:pt>
                <c:pt idx="4">
                  <c:v>54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0177664"/>
        <c:axId val="170180608"/>
      </c:barChart>
      <c:catAx>
        <c:axId val="170177664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0180608"/>
        <c:crosses val="autoZero"/>
        <c:auto val="1"/>
        <c:lblAlgn val="ctr"/>
        <c:lblOffset val="100"/>
        <c:noMultiLvlLbl val="0"/>
      </c:catAx>
      <c:valAx>
        <c:axId val="17018060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017766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Abril23!$C$27:$C$30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Abril23!$D$27:$D$30</c:f>
              <c:numCache>
                <c:formatCode>General</c:formatCode>
                <c:ptCount val="4"/>
                <c:pt idx="0">
                  <c:v>12</c:v>
                </c:pt>
                <c:pt idx="1">
                  <c:v>886</c:v>
                </c:pt>
                <c:pt idx="2">
                  <c:v>0</c:v>
                </c:pt>
                <c:pt idx="3">
                  <c:v>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229760"/>
        <c:axId val="170231296"/>
      </c:barChart>
      <c:catAx>
        <c:axId val="17022976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0231296"/>
        <c:crosses val="autoZero"/>
        <c:auto val="1"/>
        <c:lblAlgn val="r"/>
        <c:lblOffset val="100"/>
        <c:noMultiLvlLbl val="0"/>
      </c:catAx>
      <c:valAx>
        <c:axId val="17023129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02297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Abril23!$C$42:$C$46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Abril23!$D$42:$D$46</c:f>
              <c:numCache>
                <c:formatCode>General</c:formatCode>
                <c:ptCount val="5"/>
                <c:pt idx="0">
                  <c:v>23</c:v>
                </c:pt>
                <c:pt idx="1">
                  <c:v>1066</c:v>
                </c:pt>
                <c:pt idx="2">
                  <c:v>0</c:v>
                </c:pt>
                <c:pt idx="3">
                  <c:v>50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0243968"/>
        <c:axId val="170245504"/>
      </c:barChart>
      <c:catAx>
        <c:axId val="170243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0245504"/>
        <c:crosses val="autoZero"/>
        <c:auto val="1"/>
        <c:lblAlgn val="ctr"/>
        <c:lblOffset val="100"/>
        <c:noMultiLvlLbl val="0"/>
      </c:catAx>
      <c:valAx>
        <c:axId val="1702455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024396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Abril23!$C$57:$C$61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Abril23!$D$57:$D$61</c:f>
              <c:numCache>
                <c:formatCode>General</c:formatCode>
                <c:ptCount val="5"/>
                <c:pt idx="0">
                  <c:v>1</c:v>
                </c:pt>
                <c:pt idx="1">
                  <c:v>910</c:v>
                </c:pt>
                <c:pt idx="2">
                  <c:v>402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126144"/>
        <c:axId val="171127936"/>
      </c:barChart>
      <c:catAx>
        <c:axId val="1711261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1127936"/>
        <c:crosses val="autoZero"/>
        <c:auto val="1"/>
        <c:lblAlgn val="ctr"/>
        <c:lblOffset val="100"/>
        <c:noMultiLvlLbl val="0"/>
      </c:catAx>
      <c:valAx>
        <c:axId val="1711279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112614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Mayo23!$C$8:$C$14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Mayo23!$D$8:$D$14</c:f>
              <c:numCache>
                <c:formatCode>General</c:formatCode>
                <c:ptCount val="7"/>
                <c:pt idx="0">
                  <c:v>445</c:v>
                </c:pt>
                <c:pt idx="1">
                  <c:v>429</c:v>
                </c:pt>
                <c:pt idx="2">
                  <c:v>187</c:v>
                </c:pt>
                <c:pt idx="3">
                  <c:v>17</c:v>
                </c:pt>
                <c:pt idx="4">
                  <c:v>41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1223296"/>
        <c:axId val="171226240"/>
      </c:barChart>
      <c:catAx>
        <c:axId val="171223296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1226240"/>
        <c:crosses val="autoZero"/>
        <c:auto val="1"/>
        <c:lblAlgn val="ctr"/>
        <c:lblOffset val="100"/>
        <c:noMultiLvlLbl val="0"/>
      </c:catAx>
      <c:valAx>
        <c:axId val="1712262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12232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Mayo23!$C$27:$C$30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Mayo23!$D$27:$D$30</c:f>
              <c:numCache>
                <c:formatCode>General</c:formatCode>
                <c:ptCount val="4"/>
                <c:pt idx="0">
                  <c:v>23</c:v>
                </c:pt>
                <c:pt idx="1">
                  <c:v>810</c:v>
                </c:pt>
                <c:pt idx="2">
                  <c:v>0</c:v>
                </c:pt>
                <c:pt idx="3">
                  <c:v>41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03488"/>
        <c:axId val="172305024"/>
      </c:barChart>
      <c:catAx>
        <c:axId val="1723034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2305024"/>
        <c:crosses val="autoZero"/>
        <c:auto val="1"/>
        <c:lblAlgn val="r"/>
        <c:lblOffset val="100"/>
        <c:noMultiLvlLbl val="0"/>
      </c:catAx>
      <c:valAx>
        <c:axId val="17230502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23034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Mayo23!$C$42:$C$46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Mayo23!$D$42:$D$46</c:f>
              <c:numCache>
                <c:formatCode>General</c:formatCode>
                <c:ptCount val="5"/>
                <c:pt idx="0">
                  <c:v>36</c:v>
                </c:pt>
                <c:pt idx="1">
                  <c:v>984</c:v>
                </c:pt>
                <c:pt idx="2">
                  <c:v>0</c:v>
                </c:pt>
                <c:pt idx="3">
                  <c:v>58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321408"/>
        <c:axId val="172323200"/>
      </c:barChart>
      <c:catAx>
        <c:axId val="1723214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323200"/>
        <c:crosses val="autoZero"/>
        <c:auto val="1"/>
        <c:lblAlgn val="ctr"/>
        <c:lblOffset val="100"/>
        <c:noMultiLvlLbl val="0"/>
      </c:catAx>
      <c:valAx>
        <c:axId val="1723232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2321408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Mayo23!$C$57:$C$61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Mayo23!$D$57:$D$61</c:f>
              <c:numCache>
                <c:formatCode>General</c:formatCode>
                <c:ptCount val="5"/>
                <c:pt idx="0">
                  <c:v>1</c:v>
                </c:pt>
                <c:pt idx="1">
                  <c:v>873</c:v>
                </c:pt>
                <c:pt idx="2">
                  <c:v>471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499328"/>
        <c:axId val="172500864"/>
      </c:barChart>
      <c:catAx>
        <c:axId val="1724993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500864"/>
        <c:crosses val="autoZero"/>
        <c:auto val="1"/>
        <c:lblAlgn val="ctr"/>
        <c:lblOffset val="100"/>
        <c:noMultiLvlLbl val="0"/>
      </c:catAx>
      <c:valAx>
        <c:axId val="1725008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2499328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Junio23!$C$8:$C$14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Junio23!$D$8:$D$14</c:f>
              <c:numCache>
                <c:formatCode>General</c:formatCode>
                <c:ptCount val="7"/>
                <c:pt idx="0">
                  <c:v>516</c:v>
                </c:pt>
                <c:pt idx="1">
                  <c:v>613</c:v>
                </c:pt>
                <c:pt idx="2">
                  <c:v>154</c:v>
                </c:pt>
                <c:pt idx="3">
                  <c:v>16</c:v>
                </c:pt>
                <c:pt idx="4">
                  <c:v>49</c:v>
                </c:pt>
                <c:pt idx="5" formatCode="0">
                  <c:v>0</c:v>
                </c:pt>
                <c:pt idx="6">
                  <c:v>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2526592"/>
        <c:axId val="172545920"/>
      </c:barChart>
      <c:catAx>
        <c:axId val="17252659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2545920"/>
        <c:crosses val="autoZero"/>
        <c:auto val="1"/>
        <c:lblAlgn val="ctr"/>
        <c:lblOffset val="100"/>
        <c:noMultiLvlLbl val="0"/>
      </c:catAx>
      <c:valAx>
        <c:axId val="17254592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25265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Junio23!$C$27:$C$30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Junio23!$D$27:$D$30</c:f>
              <c:numCache>
                <c:formatCode>General</c:formatCode>
                <c:ptCount val="4"/>
                <c:pt idx="0">
                  <c:v>52</c:v>
                </c:pt>
                <c:pt idx="1">
                  <c:v>1041</c:v>
                </c:pt>
                <c:pt idx="2">
                  <c:v>1</c:v>
                </c:pt>
                <c:pt idx="3">
                  <c:v>35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852736"/>
        <c:axId val="172854272"/>
      </c:barChart>
      <c:catAx>
        <c:axId val="17285273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2854272"/>
        <c:crosses val="autoZero"/>
        <c:auto val="1"/>
        <c:lblAlgn val="r"/>
        <c:lblOffset val="100"/>
        <c:noMultiLvlLbl val="0"/>
      </c:catAx>
      <c:valAx>
        <c:axId val="1728542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285273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Junio23!$C$42:$C$46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Junio23!$D$42:$D$46</c:f>
              <c:numCache>
                <c:formatCode>General</c:formatCode>
                <c:ptCount val="5"/>
                <c:pt idx="0">
                  <c:v>40</c:v>
                </c:pt>
                <c:pt idx="1">
                  <c:v>1259</c:v>
                </c:pt>
                <c:pt idx="2">
                  <c:v>0</c:v>
                </c:pt>
                <c:pt idx="3">
                  <c:v>49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870656"/>
        <c:axId val="172888832"/>
      </c:barChart>
      <c:catAx>
        <c:axId val="1728706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888832"/>
        <c:crosses val="autoZero"/>
        <c:auto val="1"/>
        <c:lblAlgn val="ctr"/>
        <c:lblOffset val="100"/>
        <c:noMultiLvlLbl val="0"/>
      </c:catAx>
      <c:valAx>
        <c:axId val="1728888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2870656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Junio23!$C$57:$C$61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Junio23!$D$57:$D$61</c:f>
              <c:numCache>
                <c:formatCode>General</c:formatCode>
                <c:ptCount val="5"/>
                <c:pt idx="0">
                  <c:v>2</c:v>
                </c:pt>
                <c:pt idx="1">
                  <c:v>1129</c:v>
                </c:pt>
                <c:pt idx="2">
                  <c:v>553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2909312"/>
        <c:axId val="172910848"/>
      </c:barChart>
      <c:catAx>
        <c:axId val="1729093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2910848"/>
        <c:crosses val="autoZero"/>
        <c:auto val="1"/>
        <c:lblAlgn val="ctr"/>
        <c:lblOffset val="100"/>
        <c:noMultiLvlLbl val="0"/>
      </c:catAx>
      <c:valAx>
        <c:axId val="1729108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29093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Julio23!$C$8:$C$14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Julio23!$D$8:$D$14</c:f>
              <c:numCache>
                <c:formatCode>General</c:formatCode>
                <c:ptCount val="7"/>
                <c:pt idx="0">
                  <c:v>396</c:v>
                </c:pt>
                <c:pt idx="1">
                  <c:v>438</c:v>
                </c:pt>
                <c:pt idx="2">
                  <c:v>128</c:v>
                </c:pt>
                <c:pt idx="3">
                  <c:v>12</c:v>
                </c:pt>
                <c:pt idx="4">
                  <c:v>21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4013824"/>
        <c:axId val="174037248"/>
      </c:barChart>
      <c:catAx>
        <c:axId val="174013824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4037248"/>
        <c:crosses val="autoZero"/>
        <c:auto val="1"/>
        <c:lblAlgn val="ctr"/>
        <c:lblOffset val="100"/>
        <c:noMultiLvlLbl val="0"/>
      </c:catAx>
      <c:valAx>
        <c:axId val="174037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013824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Julio23!$C$27:$C$30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Julio23!$D$27:$D$30</c:f>
              <c:numCache>
                <c:formatCode>General</c:formatCode>
                <c:ptCount val="4"/>
                <c:pt idx="0">
                  <c:v>38</c:v>
                </c:pt>
                <c:pt idx="1">
                  <c:v>759</c:v>
                </c:pt>
                <c:pt idx="2">
                  <c:v>0</c:v>
                </c:pt>
                <c:pt idx="3">
                  <c:v>37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061824"/>
        <c:axId val="174149632"/>
      </c:barChart>
      <c:catAx>
        <c:axId val="174061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4149632"/>
        <c:crosses val="autoZero"/>
        <c:auto val="1"/>
        <c:lblAlgn val="r"/>
        <c:lblOffset val="100"/>
        <c:noMultiLvlLbl val="0"/>
      </c:catAx>
      <c:valAx>
        <c:axId val="17414963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061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Julio23!$C$42:$C$46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Julio23!$D$42:$D$46</c:f>
              <c:numCache>
                <c:formatCode>General</c:formatCode>
                <c:ptCount val="5"/>
                <c:pt idx="0">
                  <c:v>28</c:v>
                </c:pt>
                <c:pt idx="1">
                  <c:v>907</c:v>
                </c:pt>
                <c:pt idx="2">
                  <c:v>0</c:v>
                </c:pt>
                <c:pt idx="3">
                  <c:v>60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170112"/>
        <c:axId val="174171648"/>
      </c:barChart>
      <c:catAx>
        <c:axId val="174170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171648"/>
        <c:crosses val="autoZero"/>
        <c:auto val="1"/>
        <c:lblAlgn val="ctr"/>
        <c:lblOffset val="100"/>
        <c:noMultiLvlLbl val="0"/>
      </c:catAx>
      <c:valAx>
        <c:axId val="1741716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17011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Julio23!$C$57:$C$61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Julio23!$D$57:$D$61</c:f>
              <c:numCache>
                <c:formatCode>General</c:formatCode>
                <c:ptCount val="5"/>
                <c:pt idx="0">
                  <c:v>1</c:v>
                </c:pt>
                <c:pt idx="1">
                  <c:v>832</c:v>
                </c:pt>
                <c:pt idx="2">
                  <c:v>327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208512"/>
        <c:axId val="174210048"/>
      </c:barChart>
      <c:catAx>
        <c:axId val="1742085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210048"/>
        <c:crosses val="autoZero"/>
        <c:auto val="1"/>
        <c:lblAlgn val="ctr"/>
        <c:lblOffset val="100"/>
        <c:noMultiLvlLbl val="0"/>
      </c:catAx>
      <c:valAx>
        <c:axId val="1742100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420851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Agosto23!$C$8:$C$14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Agosto23!$D$8:$D$14</c:f>
              <c:numCache>
                <c:formatCode>General</c:formatCode>
                <c:ptCount val="7"/>
                <c:pt idx="0">
                  <c:v>479</c:v>
                </c:pt>
                <c:pt idx="1">
                  <c:v>465</c:v>
                </c:pt>
                <c:pt idx="2">
                  <c:v>144</c:v>
                </c:pt>
                <c:pt idx="3">
                  <c:v>4</c:v>
                </c:pt>
                <c:pt idx="4">
                  <c:v>38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74256512"/>
        <c:axId val="174259200"/>
      </c:barChart>
      <c:catAx>
        <c:axId val="17425651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74259200"/>
        <c:crosses val="autoZero"/>
        <c:auto val="1"/>
        <c:lblAlgn val="ctr"/>
        <c:lblOffset val="100"/>
        <c:noMultiLvlLbl val="0"/>
      </c:catAx>
      <c:valAx>
        <c:axId val="17425920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7425651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Agosto23!$C$27:$C$30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Agosto23!$D$27:$D$30</c:f>
              <c:numCache>
                <c:formatCode>General</c:formatCode>
                <c:ptCount val="4"/>
                <c:pt idx="0">
                  <c:v>19</c:v>
                </c:pt>
                <c:pt idx="1">
                  <c:v>879</c:v>
                </c:pt>
                <c:pt idx="2">
                  <c:v>0</c:v>
                </c:pt>
                <c:pt idx="3">
                  <c:v>46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314880"/>
        <c:axId val="184320768"/>
      </c:barChart>
      <c:catAx>
        <c:axId val="1843148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84320768"/>
        <c:crosses val="autoZero"/>
        <c:auto val="1"/>
        <c:lblAlgn val="r"/>
        <c:lblOffset val="100"/>
        <c:noMultiLvlLbl val="0"/>
      </c:catAx>
      <c:valAx>
        <c:axId val="1843207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431488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Agosto23!$C$42:$C$46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Agosto23!$D$42:$D$46</c:f>
              <c:numCache>
                <c:formatCode>General</c:formatCode>
                <c:ptCount val="5"/>
                <c:pt idx="0">
                  <c:v>35</c:v>
                </c:pt>
                <c:pt idx="1">
                  <c:v>1036</c:v>
                </c:pt>
                <c:pt idx="2">
                  <c:v>0</c:v>
                </c:pt>
                <c:pt idx="3">
                  <c:v>59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349440"/>
        <c:axId val="184350976"/>
      </c:barChart>
      <c:catAx>
        <c:axId val="1843494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4350976"/>
        <c:crosses val="autoZero"/>
        <c:auto val="1"/>
        <c:lblAlgn val="ctr"/>
        <c:lblOffset val="100"/>
        <c:noMultiLvlLbl val="0"/>
      </c:catAx>
      <c:valAx>
        <c:axId val="18435097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434944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Agosto23!$C$57:$C$61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Agosto23!$D$57:$D$61</c:f>
              <c:numCache>
                <c:formatCode>General</c:formatCode>
                <c:ptCount val="5"/>
                <c:pt idx="0">
                  <c:v>1</c:v>
                </c:pt>
                <c:pt idx="1">
                  <c:v>943</c:v>
                </c:pt>
                <c:pt idx="2">
                  <c:v>426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4506624"/>
        <c:axId val="184512512"/>
      </c:barChart>
      <c:catAx>
        <c:axId val="184506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4512512"/>
        <c:crosses val="autoZero"/>
        <c:auto val="1"/>
        <c:lblAlgn val="ctr"/>
        <c:lblOffset val="100"/>
        <c:noMultiLvlLbl val="0"/>
      </c:catAx>
      <c:valAx>
        <c:axId val="18451251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450662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Septiembre23!$C$8:$C$14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Septiembre23!$D$8:$D$14</c:f>
              <c:numCache>
                <c:formatCode>General</c:formatCode>
                <c:ptCount val="7"/>
                <c:pt idx="0">
                  <c:v>406</c:v>
                </c:pt>
                <c:pt idx="1">
                  <c:v>427</c:v>
                </c:pt>
                <c:pt idx="2">
                  <c:v>172</c:v>
                </c:pt>
                <c:pt idx="3">
                  <c:v>16</c:v>
                </c:pt>
                <c:pt idx="4">
                  <c:v>58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84599680"/>
        <c:axId val="184602624"/>
      </c:barChart>
      <c:catAx>
        <c:axId val="18459968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84602624"/>
        <c:crosses val="autoZero"/>
        <c:auto val="1"/>
        <c:lblAlgn val="ctr"/>
        <c:lblOffset val="100"/>
        <c:noMultiLvlLbl val="0"/>
      </c:catAx>
      <c:valAx>
        <c:axId val="184602624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459968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Septiembre23!$C$27:$C$30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Septiembre23!$D$27:$D$30</c:f>
              <c:numCache>
                <c:formatCode>General</c:formatCode>
                <c:ptCount val="4"/>
                <c:pt idx="0">
                  <c:v>46</c:v>
                </c:pt>
                <c:pt idx="1">
                  <c:v>713</c:v>
                </c:pt>
                <c:pt idx="2">
                  <c:v>0</c:v>
                </c:pt>
                <c:pt idx="3">
                  <c:v>74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683968"/>
        <c:axId val="185685504"/>
      </c:barChart>
      <c:catAx>
        <c:axId val="185683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85685504"/>
        <c:crosses val="autoZero"/>
        <c:auto val="1"/>
        <c:lblAlgn val="r"/>
        <c:lblOffset val="100"/>
        <c:noMultiLvlLbl val="0"/>
      </c:catAx>
      <c:valAx>
        <c:axId val="18568550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568396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Septiembre23!$C$42:$C$46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Septiembre23!$D$42:$D$46</c:f>
              <c:numCache>
                <c:formatCode>General</c:formatCode>
                <c:ptCount val="5"/>
                <c:pt idx="0">
                  <c:v>25</c:v>
                </c:pt>
                <c:pt idx="1">
                  <c:v>991</c:v>
                </c:pt>
                <c:pt idx="2">
                  <c:v>0</c:v>
                </c:pt>
                <c:pt idx="3">
                  <c:v>63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710080"/>
        <c:axId val="185711616"/>
      </c:barChart>
      <c:catAx>
        <c:axId val="1857100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5711616"/>
        <c:crosses val="autoZero"/>
        <c:auto val="1"/>
        <c:lblAlgn val="ctr"/>
        <c:lblOffset val="100"/>
        <c:noMultiLvlLbl val="0"/>
      </c:catAx>
      <c:valAx>
        <c:axId val="1857116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571008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Septiembre23!$C$57:$C$61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Septiembre23!$D$57:$D$61</c:f>
              <c:numCache>
                <c:formatCode>General</c:formatCode>
                <c:ptCount val="5"/>
                <c:pt idx="0">
                  <c:v>3</c:v>
                </c:pt>
                <c:pt idx="1">
                  <c:v>829</c:v>
                </c:pt>
                <c:pt idx="2">
                  <c:v>348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744384"/>
        <c:axId val="185754368"/>
      </c:barChart>
      <c:catAx>
        <c:axId val="1857443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5754368"/>
        <c:crosses val="autoZero"/>
        <c:auto val="1"/>
        <c:lblAlgn val="ctr"/>
        <c:lblOffset val="100"/>
        <c:noMultiLvlLbl val="0"/>
      </c:catAx>
      <c:valAx>
        <c:axId val="18575436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574438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Octubre23!$C$8:$C$14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Octubre23!$D$8:$D$14</c:f>
              <c:numCache>
                <c:formatCode>General</c:formatCode>
                <c:ptCount val="7"/>
                <c:pt idx="0">
                  <c:v>498</c:v>
                </c:pt>
                <c:pt idx="1">
                  <c:v>448</c:v>
                </c:pt>
                <c:pt idx="2">
                  <c:v>182</c:v>
                </c:pt>
                <c:pt idx="3">
                  <c:v>22</c:v>
                </c:pt>
                <c:pt idx="4">
                  <c:v>30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85784192"/>
        <c:axId val="185877248"/>
      </c:barChart>
      <c:catAx>
        <c:axId val="185784192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85877248"/>
        <c:crosses val="autoZero"/>
        <c:auto val="1"/>
        <c:lblAlgn val="ctr"/>
        <c:lblOffset val="100"/>
        <c:noMultiLvlLbl val="0"/>
      </c:catAx>
      <c:valAx>
        <c:axId val="18587724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8578419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Octubre23!$C$27:$C$30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Octubre23!$D$27:$D$30</c:f>
              <c:numCache>
                <c:formatCode>General</c:formatCode>
                <c:ptCount val="4"/>
                <c:pt idx="0">
                  <c:v>39</c:v>
                </c:pt>
                <c:pt idx="1">
                  <c:v>871</c:v>
                </c:pt>
                <c:pt idx="2">
                  <c:v>0</c:v>
                </c:pt>
                <c:pt idx="3">
                  <c:v>36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01824"/>
        <c:axId val="185903360"/>
      </c:barChart>
      <c:catAx>
        <c:axId val="1859018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85903360"/>
        <c:crosses val="autoZero"/>
        <c:auto val="1"/>
        <c:lblAlgn val="r"/>
        <c:lblOffset val="100"/>
        <c:noMultiLvlLbl val="0"/>
      </c:catAx>
      <c:valAx>
        <c:axId val="1859033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590182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Octubre23!$C$42:$C$46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Octubre23!$D$42:$D$46</c:f>
              <c:numCache>
                <c:formatCode>General</c:formatCode>
                <c:ptCount val="5"/>
                <c:pt idx="0">
                  <c:v>32</c:v>
                </c:pt>
                <c:pt idx="1">
                  <c:v>1068</c:v>
                </c:pt>
                <c:pt idx="2">
                  <c:v>0</c:v>
                </c:pt>
                <c:pt idx="3">
                  <c:v>80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23840"/>
        <c:axId val="70197248"/>
      </c:barChart>
      <c:catAx>
        <c:axId val="18592384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0197248"/>
        <c:crosses val="autoZero"/>
        <c:auto val="1"/>
        <c:lblAlgn val="ctr"/>
        <c:lblOffset val="100"/>
        <c:noMultiLvlLbl val="0"/>
      </c:catAx>
      <c:valAx>
        <c:axId val="70197248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5923840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Octubre23!$C$57:$C$61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Octubre23!$D$57:$D$61</c:f>
              <c:numCache>
                <c:formatCode>General</c:formatCode>
                <c:ptCount val="5"/>
                <c:pt idx="0">
                  <c:v>1</c:v>
                </c:pt>
                <c:pt idx="1">
                  <c:v>944</c:v>
                </c:pt>
                <c:pt idx="2">
                  <c:v>392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225920"/>
        <c:axId val="70227456"/>
      </c:barChart>
      <c:catAx>
        <c:axId val="7022592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70227456"/>
        <c:crosses val="autoZero"/>
        <c:auto val="1"/>
        <c:lblAlgn val="ctr"/>
        <c:lblOffset val="100"/>
        <c:noMultiLvlLbl val="0"/>
      </c:catAx>
      <c:valAx>
        <c:axId val="7022745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02259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Noviembre23!$C$8:$C$14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Noviembre23!$D$8:$D$14</c:f>
              <c:numCache>
                <c:formatCode>General</c:formatCode>
                <c:ptCount val="7"/>
                <c:pt idx="0">
                  <c:v>452</c:v>
                </c:pt>
                <c:pt idx="1">
                  <c:v>401</c:v>
                </c:pt>
                <c:pt idx="2">
                  <c:v>162</c:v>
                </c:pt>
                <c:pt idx="3">
                  <c:v>18</c:v>
                </c:pt>
                <c:pt idx="4">
                  <c:v>49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70290048"/>
        <c:axId val="70317568"/>
      </c:barChart>
      <c:catAx>
        <c:axId val="70290048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70317568"/>
        <c:crosses val="autoZero"/>
        <c:auto val="1"/>
        <c:lblAlgn val="ctr"/>
        <c:lblOffset val="100"/>
        <c:noMultiLvlLbl val="0"/>
      </c:catAx>
      <c:valAx>
        <c:axId val="70317568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0290048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Noviembre23!$C$27:$C$30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Noviembre23!$D$27:$D$30</c:f>
              <c:numCache>
                <c:formatCode>General</c:formatCode>
                <c:ptCount val="4"/>
                <c:pt idx="0">
                  <c:v>22</c:v>
                </c:pt>
                <c:pt idx="1">
                  <c:v>797</c:v>
                </c:pt>
                <c:pt idx="2">
                  <c:v>2</c:v>
                </c:pt>
                <c:pt idx="3">
                  <c:v>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58528"/>
        <c:axId val="70360064"/>
      </c:barChart>
      <c:catAx>
        <c:axId val="7035852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70360064"/>
        <c:crosses val="autoZero"/>
        <c:auto val="1"/>
        <c:lblAlgn val="r"/>
        <c:lblOffset val="100"/>
        <c:noMultiLvlLbl val="0"/>
      </c:catAx>
      <c:valAx>
        <c:axId val="703600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035852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Noviembre23!$C$42:$C$46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Noviembre23!$D$42:$D$46</c:f>
              <c:numCache>
                <c:formatCode>General</c:formatCode>
                <c:ptCount val="5"/>
                <c:pt idx="0">
                  <c:v>32</c:v>
                </c:pt>
                <c:pt idx="1">
                  <c:v>980</c:v>
                </c:pt>
                <c:pt idx="2">
                  <c:v>0</c:v>
                </c:pt>
                <c:pt idx="3">
                  <c:v>70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0372352"/>
        <c:axId val="185926400"/>
      </c:barChart>
      <c:catAx>
        <c:axId val="703723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5926400"/>
        <c:crosses val="autoZero"/>
        <c:auto val="1"/>
        <c:lblAlgn val="ctr"/>
        <c:lblOffset val="100"/>
        <c:noMultiLvlLbl val="0"/>
      </c:catAx>
      <c:valAx>
        <c:axId val="1859264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703723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Noviembre23!$C$57:$C$61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Noviembre23!$D$57:$D$61</c:f>
              <c:numCache>
                <c:formatCode>General</c:formatCode>
                <c:ptCount val="5"/>
                <c:pt idx="0">
                  <c:v>1</c:v>
                </c:pt>
                <c:pt idx="1">
                  <c:v>852</c:v>
                </c:pt>
                <c:pt idx="2">
                  <c:v>368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5963264"/>
        <c:axId val="185964800"/>
      </c:barChart>
      <c:catAx>
        <c:axId val="1859632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85964800"/>
        <c:crosses val="autoZero"/>
        <c:auto val="1"/>
        <c:lblAlgn val="ctr"/>
        <c:lblOffset val="100"/>
        <c:noMultiLvlLbl val="0"/>
      </c:catAx>
      <c:valAx>
        <c:axId val="18596480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85963264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Diciembre23!$C$8:$C$14</c:f>
              <c:strCache>
                <c:ptCount val="7"/>
                <c:pt idx="0">
                  <c:v>Afirmativa</c:v>
                </c:pt>
                <c:pt idx="1">
                  <c:v>Afirmativa parcial</c:v>
                </c:pt>
                <c:pt idx="2">
                  <c:v>Negativa</c:v>
                </c:pt>
                <c:pt idx="3">
                  <c:v>Acuerdos de no competencia</c:v>
                </c:pt>
                <c:pt idx="4">
                  <c:v>Prevenciones</c:v>
                </c:pt>
                <c:pt idx="5">
                  <c:v>Canceladas</c:v>
                </c:pt>
                <c:pt idx="6">
                  <c:v>Derecho ARCO</c:v>
                </c:pt>
              </c:strCache>
            </c:strRef>
          </c:cat>
          <c:val>
            <c:numRef>
              <c:f>Diciembre23!$D$8:$D$14</c:f>
              <c:numCache>
                <c:formatCode>General</c:formatCode>
                <c:ptCount val="7"/>
                <c:pt idx="0">
                  <c:v>152</c:v>
                </c:pt>
                <c:pt idx="1">
                  <c:v>137</c:v>
                </c:pt>
                <c:pt idx="2">
                  <c:v>99</c:v>
                </c:pt>
                <c:pt idx="3">
                  <c:v>6</c:v>
                </c:pt>
                <c:pt idx="4">
                  <c:v>25</c:v>
                </c:pt>
                <c:pt idx="5" formatCode="0">
                  <c:v>0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75"/>
        <c:axId val="160817920"/>
        <c:axId val="160819456"/>
      </c:barChart>
      <c:catAx>
        <c:axId val="160817920"/>
        <c:scaling>
          <c:orientation val="minMax"/>
        </c:scaling>
        <c:delete val="0"/>
        <c:axPos val="b"/>
        <c:numFmt formatCode="@" sourceLinked="0"/>
        <c:majorTickMark val="none"/>
        <c:minorTickMark val="none"/>
        <c:tickLblPos val="nextTo"/>
        <c:txPr>
          <a:bodyPr/>
          <a:lstStyle/>
          <a:p>
            <a:pPr>
              <a:defRPr sz="1100">
                <a:latin typeface="Times New Roman" pitchFamily="18" charset="0"/>
                <a:cs typeface="Times New Roman" pitchFamily="18" charset="0"/>
              </a:defRPr>
            </a:pPr>
            <a:endParaRPr lang="es-MX"/>
          </a:p>
        </c:txPr>
        <c:crossAx val="160819456"/>
        <c:crosses val="autoZero"/>
        <c:auto val="1"/>
        <c:lblAlgn val="ctr"/>
        <c:lblOffset val="100"/>
        <c:noMultiLvlLbl val="0"/>
      </c:catAx>
      <c:valAx>
        <c:axId val="160819456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60817920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Diciembre23!$C$27:$C$30</c:f>
              <c:strCache>
                <c:ptCount val="4"/>
                <c:pt idx="0">
                  <c:v>Fundamental        </c:v>
                </c:pt>
                <c:pt idx="1">
                  <c:v>Ordinaria y de libre acceso</c:v>
                </c:pt>
                <c:pt idx="2">
                  <c:v>Reservada              </c:v>
                </c:pt>
                <c:pt idx="3">
                  <c:v>Confidencial            </c:v>
                </c:pt>
              </c:strCache>
            </c:strRef>
          </c:cat>
          <c:val>
            <c:numRef>
              <c:f>Diciembre23!$D$27:$D$30</c:f>
              <c:numCache>
                <c:formatCode>General</c:formatCode>
                <c:ptCount val="4"/>
                <c:pt idx="0">
                  <c:v>8</c:v>
                </c:pt>
                <c:pt idx="1">
                  <c:v>271</c:v>
                </c:pt>
                <c:pt idx="2">
                  <c:v>0</c:v>
                </c:pt>
                <c:pt idx="3">
                  <c:v>10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256064"/>
        <c:axId val="171270144"/>
      </c:barChart>
      <c:catAx>
        <c:axId val="17125606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100">
                <a:latin typeface="Times New Roman" panose="02020603050405020304" pitchFamily="18" charset="0"/>
                <a:cs typeface="Times New Roman" panose="02020603050405020304" pitchFamily="18" charset="0"/>
              </a:defRPr>
            </a:pPr>
            <a:endParaRPr lang="es-MX"/>
          </a:p>
        </c:txPr>
        <c:crossAx val="171270144"/>
        <c:crosses val="autoZero"/>
        <c:auto val="1"/>
        <c:lblAlgn val="r"/>
        <c:lblOffset val="100"/>
        <c:noMultiLvlLbl val="0"/>
      </c:catAx>
      <c:valAx>
        <c:axId val="17127014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1256064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Diciembre23!$C$42:$C$46</c:f>
              <c:strCache>
                <c:ptCount val="5"/>
                <c:pt idx="0">
                  <c:v>Personales</c:v>
                </c:pt>
                <c:pt idx="1">
                  <c:v>Electrónicas</c:v>
                </c:pt>
                <c:pt idx="2">
                  <c:v>Telefónica</c:v>
                </c:pt>
                <c:pt idx="3">
                  <c:v>Correo electrónico</c:v>
                </c:pt>
                <c:pt idx="4">
                  <c:v>Estrados</c:v>
                </c:pt>
              </c:strCache>
            </c:strRef>
          </c:cat>
          <c:val>
            <c:numRef>
              <c:f>Diciembre23!$D$42:$D$46</c:f>
              <c:numCache>
                <c:formatCode>General</c:formatCode>
                <c:ptCount val="5"/>
                <c:pt idx="0">
                  <c:v>17</c:v>
                </c:pt>
                <c:pt idx="1">
                  <c:v>380</c:v>
                </c:pt>
                <c:pt idx="2">
                  <c:v>0</c:v>
                </c:pt>
                <c:pt idx="3">
                  <c:v>22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290624"/>
        <c:axId val="171292160"/>
      </c:barChart>
      <c:catAx>
        <c:axId val="1712906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1292160"/>
        <c:crosses val="autoZero"/>
        <c:auto val="1"/>
        <c:lblAlgn val="ctr"/>
        <c:lblOffset val="100"/>
        <c:noMultiLvlLbl val="0"/>
      </c:catAx>
      <c:valAx>
        <c:axId val="171292160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129062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lt1"/>
            </a:solidFill>
            <a:ln w="12700" cap="flat" cmpd="sng" algn="ctr">
              <a:solidFill>
                <a:schemeClr val="dk1"/>
              </a:solidFill>
              <a:prstDash val="solid"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Diciembre23!$C$57:$C$61</c:f>
              <c:strCache>
                <c:ptCount val="5"/>
                <c:pt idx="0">
                  <c:v>Consulta directa personal</c:v>
                </c:pt>
                <c:pt idx="1">
                  <c:v>Consulta directa electrónica</c:v>
                </c:pt>
                <c:pt idx="2">
                  <c:v>Reproducción de documentos</c:v>
                </c:pt>
                <c:pt idx="3">
                  <c:v>Elaboración de informes</c:v>
                </c:pt>
                <c:pt idx="4">
                  <c:v>Combinación de las anteriores</c:v>
                </c:pt>
              </c:strCache>
            </c:strRef>
          </c:cat>
          <c:val>
            <c:numRef>
              <c:f>Diciembre23!$D$57:$D$61</c:f>
              <c:numCache>
                <c:formatCode>General</c:formatCode>
                <c:ptCount val="5"/>
                <c:pt idx="0">
                  <c:v>0</c:v>
                </c:pt>
                <c:pt idx="1">
                  <c:v>289</c:v>
                </c:pt>
                <c:pt idx="2">
                  <c:v>194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1456000"/>
        <c:axId val="171457536"/>
      </c:barChart>
      <c:catAx>
        <c:axId val="171456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1457536"/>
        <c:crosses val="autoZero"/>
        <c:auto val="1"/>
        <c:lblAlgn val="ctr"/>
        <c:lblOffset val="100"/>
        <c:noMultiLvlLbl val="0"/>
      </c:catAx>
      <c:valAx>
        <c:axId val="1714575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145600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txPr>
    <a:bodyPr/>
    <a:lstStyle/>
    <a:p>
      <a:pPr>
        <a:defRPr sz="1100">
          <a:latin typeface="Times New Roman" panose="02020603050405020304" pitchFamily="18" charset="0"/>
          <a:cs typeface="Times New Roman" panose="02020603050405020304" pitchFamily="18" charset="0"/>
        </a:defRPr>
      </a:pPr>
      <a:endParaRPr lang="es-MX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image" Target="../media/image2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microsoft.com/office/2007/relationships/hdphoto" Target="../media/hdphoto1.wdp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chart" Target="../charts/chart12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chart" Target="../charts/chart16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chart" Target="../charts/chart20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3.xml"/><Relationship Id="rId2" Type="http://schemas.openxmlformats.org/officeDocument/2006/relationships/chart" Target="../charts/chart22.xml"/><Relationship Id="rId1" Type="http://schemas.openxmlformats.org/officeDocument/2006/relationships/chart" Target="../charts/chart21.xml"/><Relationship Id="rId6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chart" Target="../charts/chart24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7.xml"/><Relationship Id="rId2" Type="http://schemas.openxmlformats.org/officeDocument/2006/relationships/chart" Target="../charts/chart26.xml"/><Relationship Id="rId1" Type="http://schemas.openxmlformats.org/officeDocument/2006/relationships/chart" Target="../charts/chart25.xml"/><Relationship Id="rId6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chart" Target="../charts/chart28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1.xml"/><Relationship Id="rId2" Type="http://schemas.openxmlformats.org/officeDocument/2006/relationships/chart" Target="../charts/chart30.xml"/><Relationship Id="rId1" Type="http://schemas.openxmlformats.org/officeDocument/2006/relationships/chart" Target="../charts/chart29.xml"/><Relationship Id="rId6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chart" Target="../charts/chart32.xml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5.xml"/><Relationship Id="rId2" Type="http://schemas.openxmlformats.org/officeDocument/2006/relationships/chart" Target="../charts/chart34.xml"/><Relationship Id="rId1" Type="http://schemas.openxmlformats.org/officeDocument/2006/relationships/chart" Target="../charts/chart33.xml"/><Relationship Id="rId6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chart" Target="../charts/chart36.xml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9.xml"/><Relationship Id="rId2" Type="http://schemas.openxmlformats.org/officeDocument/2006/relationships/chart" Target="../charts/chart38.xml"/><Relationship Id="rId1" Type="http://schemas.openxmlformats.org/officeDocument/2006/relationships/chart" Target="../charts/chart37.xml"/><Relationship Id="rId6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chart" Target="../charts/chart4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3.xml"/><Relationship Id="rId2" Type="http://schemas.openxmlformats.org/officeDocument/2006/relationships/chart" Target="../charts/chart42.xml"/><Relationship Id="rId1" Type="http://schemas.openxmlformats.org/officeDocument/2006/relationships/chart" Target="../charts/chart41.xml"/><Relationship Id="rId6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chart" Target="../charts/chart4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7.xml"/><Relationship Id="rId2" Type="http://schemas.openxmlformats.org/officeDocument/2006/relationships/chart" Target="../charts/chart46.xml"/><Relationship Id="rId1" Type="http://schemas.openxmlformats.org/officeDocument/2006/relationships/chart" Target="../charts/chart45.xml"/><Relationship Id="rId6" Type="http://schemas.openxmlformats.org/officeDocument/2006/relationships/image" Target="../media/image3.jpeg"/><Relationship Id="rId5" Type="http://schemas.openxmlformats.org/officeDocument/2006/relationships/image" Target="../media/image2.png"/><Relationship Id="rId4" Type="http://schemas.openxmlformats.org/officeDocument/2006/relationships/chart" Target="../charts/chart4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4" name="3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5" name="4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6" name="5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7" name="6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552450</xdr:colOff>
      <xdr:row>0</xdr:row>
      <xdr:rowOff>66676</xdr:rowOff>
    </xdr:from>
    <xdr:to>
      <xdr:col>13</xdr:col>
      <xdr:colOff>85725</xdr:colOff>
      <xdr:row>0</xdr:row>
      <xdr:rowOff>1343026</xdr:rowOff>
    </xdr:to>
    <xdr:pic>
      <xdr:nvPicPr>
        <xdr:cNvPr id="9" name="Imagen 8"/>
        <xdr:cNvPicPr/>
      </xdr:nvPicPr>
      <xdr:blipFill rotWithShape="1">
        <a:blip xmlns:r="http://schemas.openxmlformats.org/officeDocument/2006/relationships" r:embed="rId5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10000"/>
                  </a14:imgEffect>
                  <a14:imgEffect>
                    <a14:brightnessContrast contrast="-50000"/>
                  </a14:imgEffect>
                </a14:imgLayer>
              </a14:imgProps>
            </a:ext>
          </a:extLst>
        </a:blip>
        <a:srcRect l="77256" t="4028" r="8327" b="1342"/>
        <a:stretch/>
      </xdr:blipFill>
      <xdr:spPr bwMode="auto">
        <a:xfrm>
          <a:off x="9315450" y="66676"/>
          <a:ext cx="1057275" cy="12763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10" name="Rectángulo 9"/>
        <xdr:cNvSpPr/>
      </xdr:nvSpPr>
      <xdr:spPr>
        <a:xfrm>
          <a:off x="1676400" y="800100"/>
          <a:ext cx="781050" cy="1333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</xdr:col>
      <xdr:colOff>0</xdr:colOff>
      <xdr:row>0</xdr:row>
      <xdr:rowOff>276225</xdr:rowOff>
    </xdr:from>
    <xdr:to>
      <xdr:col>3</xdr:col>
      <xdr:colOff>685800</xdr:colOff>
      <xdr:row>0</xdr:row>
      <xdr:rowOff>1209675</xdr:rowOff>
    </xdr:to>
    <xdr:pic>
      <xdr:nvPicPr>
        <xdr:cNvPr id="11" name="10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762000" y="276225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800100"/>
          <a:ext cx="781050" cy="13335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1</xdr:col>
      <xdr:colOff>85725</xdr:colOff>
      <xdr:row>0</xdr:row>
      <xdr:rowOff>257176</xdr:rowOff>
    </xdr:from>
    <xdr:to>
      <xdr:col>3</xdr:col>
      <xdr:colOff>600075</xdr:colOff>
      <xdr:row>0</xdr:row>
      <xdr:rowOff>1143000</xdr:rowOff>
    </xdr:to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257176"/>
          <a:ext cx="2419350" cy="88582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11</xdr:col>
      <xdr:colOff>676275</xdr:colOff>
      <xdr:row>0</xdr:row>
      <xdr:rowOff>123825</xdr:rowOff>
    </xdr:from>
    <xdr:to>
      <xdr:col>13</xdr:col>
      <xdr:colOff>323850</xdr:colOff>
      <xdr:row>1</xdr:row>
      <xdr:rowOff>0</xdr:rowOff>
    </xdr:to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6678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64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9525</xdr:colOff>
      <xdr:row>0</xdr:row>
      <xdr:rowOff>85725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771525" y="85725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0</xdr:col>
      <xdr:colOff>733425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733425" y="352425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9524</xdr:colOff>
      <xdr:row>5</xdr:row>
      <xdr:rowOff>19051</xdr:rowOff>
    </xdr:from>
    <xdr:to>
      <xdr:col>13</xdr:col>
      <xdr:colOff>0</xdr:colOff>
      <xdr:row>15</xdr:row>
      <xdr:rowOff>142876</xdr:rowOff>
    </xdr:to>
    <xdr:graphicFrame macro="">
      <xdr:nvGraphicFramePr>
        <xdr:cNvPr id="2" name="1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9525</xdr:colOff>
      <xdr:row>21</xdr:row>
      <xdr:rowOff>19050</xdr:rowOff>
    </xdr:from>
    <xdr:to>
      <xdr:col>12</xdr:col>
      <xdr:colOff>752475</xdr:colOff>
      <xdr:row>33</xdr:row>
      <xdr:rowOff>176212</xdr:rowOff>
    </xdr:to>
    <xdr:graphicFrame macro="">
      <xdr:nvGraphicFramePr>
        <xdr:cNvPr id="3" name="2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9524</xdr:colOff>
      <xdr:row>40</xdr:row>
      <xdr:rowOff>14287</xdr:rowOff>
    </xdr:from>
    <xdr:to>
      <xdr:col>12</xdr:col>
      <xdr:colOff>752475</xdr:colOff>
      <xdr:row>54</xdr:row>
      <xdr:rowOff>0</xdr:rowOff>
    </xdr:to>
    <xdr:graphicFrame macro="">
      <xdr:nvGraphicFramePr>
        <xdr:cNvPr id="4" name="3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19050</xdr:colOff>
      <xdr:row>58</xdr:row>
      <xdr:rowOff>190500</xdr:rowOff>
    </xdr:from>
    <xdr:to>
      <xdr:col>13</xdr:col>
      <xdr:colOff>19050</xdr:colOff>
      <xdr:row>66</xdr:row>
      <xdr:rowOff>195262</xdr:rowOff>
    </xdr:to>
    <xdr:graphicFrame macro="">
      <xdr:nvGraphicFramePr>
        <xdr:cNvPr id="5" name="4 Gráfico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152400</xdr:colOff>
      <xdr:row>0</xdr:row>
      <xdr:rowOff>800100</xdr:rowOff>
    </xdr:from>
    <xdr:to>
      <xdr:col>2</xdr:col>
      <xdr:colOff>933450</xdr:colOff>
      <xdr:row>0</xdr:row>
      <xdr:rowOff>933450</xdr:rowOff>
    </xdr:to>
    <xdr:sp macro="" textlink="">
      <xdr:nvSpPr>
        <xdr:cNvPr id="6" name="Rectángulo 9"/>
        <xdr:cNvSpPr/>
      </xdr:nvSpPr>
      <xdr:spPr>
        <a:xfrm>
          <a:off x="1676400" y="190500"/>
          <a:ext cx="609600" cy="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oneCellAnchor>
    <xdr:from>
      <xdr:col>1</xdr:col>
      <xdr:colOff>85725</xdr:colOff>
      <xdr:row>0</xdr:row>
      <xdr:rowOff>352425</xdr:rowOff>
    </xdr:from>
    <xdr:ext cx="2590800" cy="933450"/>
    <xdr:pic>
      <xdr:nvPicPr>
        <xdr:cNvPr id="7" name="6 Imagen" descr="https://lh5.googleusercontent.com/gaSB--MdN5sJI7BqtOY878zdbwS7Xa6pzRO4xyWodJAR4LzruK-kbTGI4M0VtROCFqBVrOtMSl31_Z9UxyhtY87SM2OHBwJ_ETa_39evBwzXrxsfVpt-3SPWUGn5yqcTad8WAmbsVFDBnflq0v5eLK8"/>
        <xdr:cNvPicPr/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28" t="26667" r="14815" b="26667"/>
        <a:stretch/>
      </xdr:blipFill>
      <xdr:spPr bwMode="auto">
        <a:xfrm>
          <a:off x="847725" y="190500"/>
          <a:ext cx="2590800" cy="933450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  <xdr:oneCellAnchor>
    <xdr:from>
      <xdr:col>11</xdr:col>
      <xdr:colOff>676275</xdr:colOff>
      <xdr:row>0</xdr:row>
      <xdr:rowOff>123825</xdr:rowOff>
    </xdr:from>
    <xdr:ext cx="1171575" cy="1476375"/>
    <xdr:pic>
      <xdr:nvPicPr>
        <xdr:cNvPr id="8" name="7 Imagen" descr="https://lh4.googleusercontent.com/nddzJEq5X-YYRekbAiR1GfuJP3oM9b1RGw7wFXDf7GrxcsyNDRhiQEvo8udAnEzfiPmQZLJup3XKxLmpNJL2Ea0VwCZGfCwvY-Kp26kxC-73off2NrDN25cc30ndqvg9ilEmrVxCtG9_IN_4B3IDNiQ"/>
        <xdr:cNvPicPr/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667" t="18566" r="19271" b="16033"/>
        <a:stretch/>
      </xdr:blipFill>
      <xdr:spPr bwMode="auto">
        <a:xfrm>
          <a:off x="9058275" y="123825"/>
          <a:ext cx="1171575" cy="147637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stad&#237;stica%20-%20FEBRERO%20-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ja 1"/>
    </sheetNames>
    <sheetDataSet>
      <sheetData sheetId="0">
        <row r="8">
          <cell r="C8" t="str">
            <v>Afirmativa</v>
          </cell>
          <cell r="D8">
            <v>488</v>
          </cell>
        </row>
        <row r="9">
          <cell r="C9" t="str">
            <v>Afirmativa parcial</v>
          </cell>
          <cell r="D9">
            <v>676</v>
          </cell>
        </row>
        <row r="10">
          <cell r="C10" t="str">
            <v>Negativa</v>
          </cell>
          <cell r="D10">
            <v>300</v>
          </cell>
        </row>
        <row r="11">
          <cell r="C11" t="str">
            <v>Acuerdos de no competencia</v>
          </cell>
          <cell r="D11">
            <v>20</v>
          </cell>
        </row>
        <row r="12">
          <cell r="C12" t="str">
            <v>Prevenciones</v>
          </cell>
          <cell r="D12">
            <v>48</v>
          </cell>
        </row>
        <row r="13">
          <cell r="C13" t="str">
            <v>Canceladas</v>
          </cell>
          <cell r="D13">
            <v>0</v>
          </cell>
        </row>
        <row r="14">
          <cell r="C14" t="str">
            <v>Derecho ARCO</v>
          </cell>
          <cell r="D14">
            <v>0</v>
          </cell>
        </row>
        <row r="27">
          <cell r="C27" t="str">
            <v xml:space="preserve">Fundamental        </v>
          </cell>
          <cell r="D27">
            <v>30</v>
          </cell>
        </row>
        <row r="28">
          <cell r="C28" t="str">
            <v>Ordinaria y de libre acceso</v>
          </cell>
          <cell r="D28">
            <v>1098</v>
          </cell>
        </row>
        <row r="29">
          <cell r="C29" t="str">
            <v xml:space="preserve">Reservada              </v>
          </cell>
          <cell r="D29">
            <v>1</v>
          </cell>
        </row>
        <row r="30">
          <cell r="C30" t="str">
            <v xml:space="preserve">Confidencial            </v>
          </cell>
          <cell r="D30">
            <v>35</v>
          </cell>
        </row>
        <row r="42">
          <cell r="C42" t="str">
            <v>Personales</v>
          </cell>
          <cell r="D42">
            <v>22</v>
          </cell>
        </row>
        <row r="43">
          <cell r="C43" t="str">
            <v>Electrónicas</v>
          </cell>
          <cell r="D43">
            <v>1407</v>
          </cell>
        </row>
        <row r="44">
          <cell r="C44" t="str">
            <v>Telefónica</v>
          </cell>
          <cell r="D44">
            <v>0</v>
          </cell>
        </row>
        <row r="45">
          <cell r="C45" t="str">
            <v>Correo electrónico</v>
          </cell>
          <cell r="D45">
            <v>55</v>
          </cell>
        </row>
        <row r="46">
          <cell r="C46" t="str">
            <v>Estrados</v>
          </cell>
          <cell r="D46">
            <v>0</v>
          </cell>
        </row>
        <row r="57">
          <cell r="C57" t="str">
            <v>Consulta directa personal</v>
          </cell>
          <cell r="D57">
            <v>11</v>
          </cell>
        </row>
        <row r="58">
          <cell r="C58" t="str">
            <v>Consulta directa electrónica</v>
          </cell>
          <cell r="D58">
            <v>1153</v>
          </cell>
        </row>
        <row r="59">
          <cell r="C59" t="str">
            <v>Reproducción de documentos</v>
          </cell>
          <cell r="D59">
            <v>594</v>
          </cell>
        </row>
        <row r="60">
          <cell r="C60" t="str">
            <v>Elaboración de informes</v>
          </cell>
          <cell r="D60">
            <v>0</v>
          </cell>
        </row>
        <row r="61">
          <cell r="C61" t="str">
            <v>Combinación de las anteriores</v>
          </cell>
          <cell r="D6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D15" sqref="D15"/>
    </sheetView>
  </sheetViews>
  <sheetFormatPr baseColWidth="10" defaultRowHeight="15" x14ac:dyDescent="0.25"/>
  <cols>
    <col min="1" max="1" width="11.42578125" style="2"/>
    <col min="3" max="3" width="17.140625" customWidth="1"/>
    <col min="4" max="4" width="14.85546875" bestFit="1" customWidth="1"/>
  </cols>
  <sheetData>
    <row r="1" spans="1:16" ht="133.5" customHeight="1" x14ac:dyDescent="0.25">
      <c r="A1" s="28"/>
      <c r="B1" s="67" t="s">
        <v>42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29"/>
      <c r="P1" s="1"/>
    </row>
    <row r="2" spans="1:16" ht="23.25" x14ac:dyDescent="0.35">
      <c r="A2" s="28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28"/>
    </row>
    <row r="4" spans="1:16" ht="23.25" x14ac:dyDescent="0.35">
      <c r="B4" s="70" t="s">
        <v>43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6" s="2" customFormat="1" ht="23.25" x14ac:dyDescent="0.35">
      <c r="B5" s="8"/>
      <c r="C5" s="8"/>
      <c r="D5" s="8"/>
      <c r="E5" s="8"/>
      <c r="F5" s="8"/>
      <c r="G5" s="21" t="s">
        <v>21</v>
      </c>
      <c r="H5" s="8"/>
      <c r="I5" s="8"/>
      <c r="J5" s="8"/>
      <c r="K5" s="8"/>
      <c r="L5" s="8"/>
      <c r="M5" s="8"/>
      <c r="N5" s="8"/>
    </row>
    <row r="6" spans="1:16" s="2" customFormat="1" ht="23.25" x14ac:dyDescent="0.35">
      <c r="B6" s="20" t="s">
        <v>20</v>
      </c>
      <c r="E6" s="8"/>
      <c r="F6" s="8"/>
      <c r="G6" s="8"/>
      <c r="H6" s="8"/>
      <c r="I6" s="8"/>
      <c r="J6" s="8"/>
      <c r="K6" s="8"/>
      <c r="L6" s="8"/>
      <c r="M6" s="8"/>
      <c r="N6" s="8"/>
    </row>
    <row r="7" spans="1:16" s="2" customFormat="1" ht="23.25" x14ac:dyDescent="0.35">
      <c r="B7" s="73" t="s">
        <v>8</v>
      </c>
      <c r="C7" s="73"/>
      <c r="D7" s="73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6" s="2" customFormat="1" ht="23.25" x14ac:dyDescent="0.35">
      <c r="B8" s="3">
        <v>1</v>
      </c>
      <c r="C8" s="4" t="s">
        <v>1</v>
      </c>
      <c r="D8" s="19">
        <v>618</v>
      </c>
      <c r="E8" s="8"/>
      <c r="F8" s="8"/>
      <c r="G8" s="8"/>
      <c r="H8" s="8"/>
      <c r="I8" s="8"/>
      <c r="J8" s="8"/>
      <c r="K8" s="8"/>
      <c r="L8" s="8"/>
      <c r="M8" s="8"/>
      <c r="N8" s="8"/>
    </row>
    <row r="9" spans="1:16" ht="15.75" x14ac:dyDescent="0.25">
      <c r="B9" s="3">
        <v>2</v>
      </c>
      <c r="C9" s="5" t="s">
        <v>30</v>
      </c>
      <c r="D9" s="19">
        <v>791</v>
      </c>
    </row>
    <row r="10" spans="1:16" ht="15.75" x14ac:dyDescent="0.25">
      <c r="B10" s="3">
        <v>3</v>
      </c>
      <c r="C10" s="5" t="s">
        <v>2</v>
      </c>
      <c r="D10" s="19">
        <v>275</v>
      </c>
    </row>
    <row r="11" spans="1:16" ht="31.5" x14ac:dyDescent="0.25">
      <c r="B11" s="3">
        <v>4</v>
      </c>
      <c r="C11" s="4" t="s">
        <v>3</v>
      </c>
      <c r="D11" s="19">
        <v>8</v>
      </c>
    </row>
    <row r="12" spans="1:16" ht="15.75" x14ac:dyDescent="0.25">
      <c r="B12" s="25">
        <v>5</v>
      </c>
      <c r="C12" s="4" t="s">
        <v>4</v>
      </c>
      <c r="D12" s="19">
        <v>82</v>
      </c>
    </row>
    <row r="13" spans="1:16" ht="15.75" x14ac:dyDescent="0.25">
      <c r="B13" s="25">
        <v>6</v>
      </c>
      <c r="C13" s="4" t="s">
        <v>37</v>
      </c>
      <c r="D13" s="6">
        <v>0</v>
      </c>
    </row>
    <row r="14" spans="1:16" ht="15.75" x14ac:dyDescent="0.25">
      <c r="B14" s="3">
        <v>7</v>
      </c>
      <c r="C14" s="4" t="s">
        <v>38</v>
      </c>
      <c r="D14" s="19">
        <v>0</v>
      </c>
    </row>
    <row r="15" spans="1:16" ht="15.75" x14ac:dyDescent="0.25">
      <c r="B15" s="66" t="s">
        <v>23</v>
      </c>
      <c r="C15" s="66"/>
      <c r="D15" s="26">
        <f>SUM(D8+D10+D9+D13+D11+D12)</f>
        <v>1774</v>
      </c>
    </row>
    <row r="17" spans="2:7" ht="15.75" x14ac:dyDescent="0.25">
      <c r="B17" s="71" t="s">
        <v>34</v>
      </c>
      <c r="C17" s="72"/>
      <c r="D17" s="23">
        <v>1774</v>
      </c>
      <c r="G17" s="22" t="s">
        <v>41</v>
      </c>
    </row>
    <row r="18" spans="2:7" ht="15.75" x14ac:dyDescent="0.25">
      <c r="B18" s="71" t="s">
        <v>35</v>
      </c>
      <c r="C18" s="72"/>
      <c r="D18" s="23">
        <v>8</v>
      </c>
    </row>
    <row r="19" spans="2:7" s="2" customFormat="1" ht="15.75" x14ac:dyDescent="0.25">
      <c r="B19" s="71" t="s">
        <v>39</v>
      </c>
      <c r="C19" s="72"/>
      <c r="D19" s="23">
        <v>82</v>
      </c>
      <c r="E19"/>
    </row>
    <row r="20" spans="2:7" s="2" customFormat="1" ht="15.75" x14ac:dyDescent="0.25">
      <c r="B20" s="71" t="s">
        <v>37</v>
      </c>
      <c r="C20" s="72"/>
      <c r="D20" s="23">
        <v>0</v>
      </c>
    </row>
    <row r="21" spans="2:7" s="2" customFormat="1" ht="15.75" x14ac:dyDescent="0.25">
      <c r="B21" s="71" t="s">
        <v>38</v>
      </c>
      <c r="C21" s="72"/>
      <c r="D21" s="23">
        <v>0</v>
      </c>
      <c r="G21" s="21" t="s">
        <v>25</v>
      </c>
    </row>
    <row r="22" spans="2:7" ht="15.75" x14ac:dyDescent="0.25">
      <c r="B22" s="71" t="s">
        <v>36</v>
      </c>
      <c r="C22" s="72"/>
      <c r="D22" s="27">
        <f>(D17)-D18</f>
        <v>1766</v>
      </c>
    </row>
    <row r="25" spans="2:7" ht="15.75" x14ac:dyDescent="0.25">
      <c r="B25" s="20" t="s">
        <v>24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9">
        <v>1</v>
      </c>
      <c r="C27" s="10" t="s">
        <v>5</v>
      </c>
      <c r="D27" s="11">
        <v>43</v>
      </c>
    </row>
    <row r="28" spans="2:7" ht="31.5" x14ac:dyDescent="0.25">
      <c r="B28" s="3">
        <v>2</v>
      </c>
      <c r="C28" s="12" t="s">
        <v>31</v>
      </c>
      <c r="D28" s="11">
        <v>1334</v>
      </c>
    </row>
    <row r="29" spans="2:7" ht="15.75" x14ac:dyDescent="0.25">
      <c r="B29" s="9">
        <v>3</v>
      </c>
      <c r="C29" s="13" t="s">
        <v>6</v>
      </c>
      <c r="D29" s="14">
        <v>0</v>
      </c>
    </row>
    <row r="30" spans="2:7" ht="15.75" x14ac:dyDescent="0.25">
      <c r="B30" s="9">
        <v>4</v>
      </c>
      <c r="C30" s="10" t="s">
        <v>7</v>
      </c>
      <c r="D30" s="14">
        <v>32</v>
      </c>
    </row>
    <row r="31" spans="2:7" ht="15.75" x14ac:dyDescent="0.25">
      <c r="B31" s="74" t="s">
        <v>23</v>
      </c>
      <c r="C31" s="75"/>
      <c r="D31" s="24">
        <f>SUM(D27:D30)</f>
        <v>1409</v>
      </c>
    </row>
    <row r="35" spans="2:13" x14ac:dyDescent="0.25">
      <c r="G35" s="76" t="s">
        <v>40</v>
      </c>
      <c r="H35" s="76"/>
      <c r="I35" s="76"/>
      <c r="J35" s="76"/>
      <c r="K35" s="76"/>
      <c r="L35" s="76"/>
      <c r="M35" s="76"/>
    </row>
    <row r="36" spans="2:13" x14ac:dyDescent="0.25">
      <c r="G36" s="76"/>
      <c r="H36" s="76"/>
      <c r="I36" s="76"/>
      <c r="J36" s="76"/>
      <c r="K36" s="76"/>
      <c r="L36" s="76"/>
      <c r="M36" s="76"/>
    </row>
    <row r="38" spans="2:13" x14ac:dyDescent="0.25">
      <c r="B38" s="2"/>
      <c r="C38" s="2"/>
      <c r="D38" s="2"/>
    </row>
    <row r="39" spans="2:13" s="2" customFormat="1" x14ac:dyDescent="0.25"/>
    <row r="40" spans="2:13" s="2" customFormat="1" ht="15.75" x14ac:dyDescent="0.25">
      <c r="B40" s="20" t="s">
        <v>26</v>
      </c>
      <c r="C40" s="15"/>
      <c r="D40" s="16"/>
      <c r="G40" s="21" t="s">
        <v>27</v>
      </c>
    </row>
    <row r="41" spans="2:13" s="2" customFormat="1" ht="15.75" x14ac:dyDescent="0.25">
      <c r="B41" s="73" t="s">
        <v>19</v>
      </c>
      <c r="C41" s="73"/>
      <c r="D41" s="73"/>
    </row>
    <row r="42" spans="2:13" ht="15.75" x14ac:dyDescent="0.25">
      <c r="B42" s="9">
        <v>1</v>
      </c>
      <c r="C42" s="10" t="s">
        <v>10</v>
      </c>
      <c r="D42" s="11">
        <v>48</v>
      </c>
    </row>
    <row r="43" spans="2:13" ht="15.75" x14ac:dyDescent="0.25">
      <c r="B43" s="9">
        <v>2</v>
      </c>
      <c r="C43" s="10" t="s">
        <v>11</v>
      </c>
      <c r="D43" s="11">
        <v>1524</v>
      </c>
    </row>
    <row r="44" spans="2:13" ht="15.75" x14ac:dyDescent="0.25">
      <c r="B44" s="9">
        <v>3</v>
      </c>
      <c r="C44" s="10" t="s">
        <v>33</v>
      </c>
      <c r="D44" s="11">
        <v>0</v>
      </c>
    </row>
    <row r="45" spans="2:13" ht="15.75" x14ac:dyDescent="0.25">
      <c r="B45" s="9">
        <v>4</v>
      </c>
      <c r="C45" s="10" t="s">
        <v>32</v>
      </c>
      <c r="D45" s="11">
        <v>202</v>
      </c>
    </row>
    <row r="46" spans="2:13" ht="15.75" x14ac:dyDescent="0.25">
      <c r="B46" s="9">
        <v>5</v>
      </c>
      <c r="C46" s="10" t="s">
        <v>12</v>
      </c>
      <c r="D46" s="11">
        <v>0</v>
      </c>
    </row>
    <row r="47" spans="2:13" ht="15.75" x14ac:dyDescent="0.25">
      <c r="B47" s="66" t="s">
        <v>23</v>
      </c>
      <c r="C47" s="66"/>
      <c r="D47" s="7">
        <f>SUM(D42:D46)</f>
        <v>1774</v>
      </c>
    </row>
    <row r="54" spans="2:7" x14ac:dyDescent="0.25">
      <c r="B54" s="2"/>
      <c r="C54" s="2"/>
      <c r="D54" s="2"/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14</v>
      </c>
      <c r="D57" s="19">
        <v>2</v>
      </c>
    </row>
    <row r="58" spans="2:7" ht="31.5" x14ac:dyDescent="0.25">
      <c r="B58" s="17">
        <v>2</v>
      </c>
      <c r="C58" s="18" t="s">
        <v>15</v>
      </c>
      <c r="D58" s="19">
        <v>712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695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7" t="s">
        <v>23</v>
      </c>
      <c r="C62" s="78"/>
      <c r="D62" s="9">
        <f>SUM(D57:D61)</f>
        <v>1409</v>
      </c>
      <c r="G62" s="22" t="s">
        <v>22</v>
      </c>
    </row>
    <row r="66" spans="7:13" x14ac:dyDescent="0.25">
      <c r="G66" s="76" t="s">
        <v>40</v>
      </c>
      <c r="H66" s="76"/>
      <c r="I66" s="76"/>
      <c r="J66" s="76"/>
      <c r="K66" s="76"/>
      <c r="L66" s="76"/>
      <c r="M66" s="76"/>
    </row>
    <row r="67" spans="7:13" x14ac:dyDescent="0.25">
      <c r="G67" s="76"/>
      <c r="H67" s="76"/>
      <c r="I67" s="76"/>
      <c r="J67" s="76"/>
      <c r="K67" s="76"/>
      <c r="L67" s="76"/>
      <c r="M67" s="76"/>
    </row>
  </sheetData>
  <mergeCells count="19">
    <mergeCell ref="B31:C31"/>
    <mergeCell ref="B47:C47"/>
    <mergeCell ref="B41:D41"/>
    <mergeCell ref="G35:M36"/>
    <mergeCell ref="G66:M67"/>
    <mergeCell ref="B62:C62"/>
    <mergeCell ref="B56:D56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B7:D7"/>
    <mergeCell ref="B15:C15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7"/>
  <sheetViews>
    <sheetView workbookViewId="0">
      <selection activeCell="O4" sqref="O4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7" t="s">
        <v>44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29"/>
      <c r="P1" s="1"/>
    </row>
    <row r="2" spans="1:16" ht="23.25" x14ac:dyDescent="0.35">
      <c r="A2" s="28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28"/>
    </row>
    <row r="4" spans="1:16" ht="23.25" x14ac:dyDescent="0.35">
      <c r="B4" s="70" t="s">
        <v>45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6" ht="23.25" x14ac:dyDescent="0.35">
      <c r="B5" s="31"/>
      <c r="C5" s="31"/>
      <c r="D5" s="31"/>
      <c r="E5" s="31"/>
      <c r="F5" s="31"/>
      <c r="G5" s="21" t="s">
        <v>21</v>
      </c>
      <c r="H5" s="31"/>
      <c r="I5" s="31"/>
      <c r="J5" s="31"/>
      <c r="K5" s="31"/>
      <c r="L5" s="31"/>
      <c r="M5" s="31"/>
      <c r="N5" s="31"/>
    </row>
    <row r="6" spans="1:16" ht="23.25" x14ac:dyDescent="0.35">
      <c r="B6" s="20" t="s">
        <v>20</v>
      </c>
      <c r="E6" s="31"/>
      <c r="F6" s="31"/>
      <c r="G6" s="31"/>
      <c r="H6" s="31"/>
      <c r="I6" s="31"/>
      <c r="J6" s="31"/>
      <c r="K6" s="31"/>
      <c r="L6" s="31"/>
      <c r="M6" s="31"/>
      <c r="N6" s="31"/>
    </row>
    <row r="7" spans="1:16" ht="23.25" x14ac:dyDescent="0.35">
      <c r="B7" s="73" t="s">
        <v>8</v>
      </c>
      <c r="C7" s="73"/>
      <c r="D7" s="73"/>
      <c r="E7" s="31"/>
      <c r="F7" s="31"/>
      <c r="G7" s="31"/>
      <c r="H7" s="31"/>
      <c r="I7" s="31"/>
      <c r="J7" s="31"/>
      <c r="K7" s="31"/>
      <c r="L7" s="31"/>
      <c r="M7" s="31"/>
      <c r="N7" s="31"/>
    </row>
    <row r="8" spans="1:16" ht="23.25" x14ac:dyDescent="0.35">
      <c r="B8" s="32">
        <v>1</v>
      </c>
      <c r="C8" s="4" t="s">
        <v>1</v>
      </c>
      <c r="D8" s="19">
        <v>488</v>
      </c>
      <c r="E8" s="31"/>
      <c r="F8" s="31"/>
      <c r="G8" s="31"/>
      <c r="H8" s="31"/>
      <c r="I8" s="31"/>
      <c r="J8" s="31"/>
      <c r="K8" s="31"/>
      <c r="L8" s="31"/>
      <c r="M8" s="31"/>
      <c r="N8" s="31"/>
    </row>
    <row r="9" spans="1:16" ht="15.75" x14ac:dyDescent="0.25">
      <c r="B9" s="32">
        <v>2</v>
      </c>
      <c r="C9" s="5" t="s">
        <v>30</v>
      </c>
      <c r="D9" s="19">
        <v>676</v>
      </c>
    </row>
    <row r="10" spans="1:16" ht="15.75" x14ac:dyDescent="0.25">
      <c r="B10" s="32">
        <v>3</v>
      </c>
      <c r="C10" s="5" t="s">
        <v>2</v>
      </c>
      <c r="D10" s="19">
        <v>300</v>
      </c>
    </row>
    <row r="11" spans="1:16" ht="31.5" x14ac:dyDescent="0.25">
      <c r="B11" s="32">
        <v>4</v>
      </c>
      <c r="C11" s="4" t="s">
        <v>3</v>
      </c>
      <c r="D11" s="19">
        <v>20</v>
      </c>
    </row>
    <row r="12" spans="1:16" ht="15.75" x14ac:dyDescent="0.25">
      <c r="B12" s="32">
        <v>5</v>
      </c>
      <c r="C12" s="4" t="s">
        <v>4</v>
      </c>
      <c r="D12" s="19">
        <v>48</v>
      </c>
    </row>
    <row r="13" spans="1:16" ht="15.75" x14ac:dyDescent="0.25">
      <c r="B13" s="32">
        <v>6</v>
      </c>
      <c r="C13" s="4" t="s">
        <v>37</v>
      </c>
      <c r="D13" s="6">
        <v>0</v>
      </c>
    </row>
    <row r="14" spans="1:16" ht="15.75" x14ac:dyDescent="0.25">
      <c r="B14" s="32">
        <v>7</v>
      </c>
      <c r="C14" s="4" t="s">
        <v>38</v>
      </c>
      <c r="D14" s="19">
        <v>0</v>
      </c>
    </row>
    <row r="15" spans="1:16" ht="15.75" x14ac:dyDescent="0.25">
      <c r="B15" s="66" t="s">
        <v>23</v>
      </c>
      <c r="C15" s="66"/>
      <c r="D15" s="26">
        <f>SUM(D8+D10+D9+D13+D11)</f>
        <v>1484</v>
      </c>
    </row>
    <row r="17" spans="2:7" ht="15.75" x14ac:dyDescent="0.25">
      <c r="B17" s="71" t="s">
        <v>34</v>
      </c>
      <c r="C17" s="72"/>
      <c r="D17" s="23">
        <v>1484</v>
      </c>
      <c r="G17" s="22" t="s">
        <v>46</v>
      </c>
    </row>
    <row r="18" spans="2:7" ht="15.75" x14ac:dyDescent="0.25">
      <c r="B18" s="71" t="s">
        <v>35</v>
      </c>
      <c r="C18" s="72"/>
      <c r="D18" s="23">
        <v>20</v>
      </c>
    </row>
    <row r="19" spans="2:7" ht="15.75" x14ac:dyDescent="0.25">
      <c r="B19" s="71" t="s">
        <v>39</v>
      </c>
      <c r="C19" s="72"/>
      <c r="D19" s="23">
        <v>48</v>
      </c>
    </row>
    <row r="20" spans="2:7" ht="15.75" x14ac:dyDescent="0.25">
      <c r="B20" s="71" t="s">
        <v>37</v>
      </c>
      <c r="C20" s="72"/>
      <c r="D20" s="23">
        <v>0</v>
      </c>
    </row>
    <row r="21" spans="2:7" ht="15.75" x14ac:dyDescent="0.25">
      <c r="B21" s="71" t="s">
        <v>38</v>
      </c>
      <c r="C21" s="72"/>
      <c r="D21" s="23">
        <v>0</v>
      </c>
      <c r="G21" s="21" t="s">
        <v>25</v>
      </c>
    </row>
    <row r="22" spans="2:7" ht="15.75" x14ac:dyDescent="0.25">
      <c r="B22" s="71" t="s">
        <v>36</v>
      </c>
      <c r="C22" s="72"/>
      <c r="D22" s="27">
        <f>(D17)-D18</f>
        <v>1464</v>
      </c>
    </row>
    <row r="25" spans="2:7" ht="15.75" x14ac:dyDescent="0.25">
      <c r="B25" s="20" t="s">
        <v>24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30">
        <v>1</v>
      </c>
      <c r="C27" s="10" t="s">
        <v>5</v>
      </c>
      <c r="D27" s="11">
        <v>30</v>
      </c>
    </row>
    <row r="28" spans="2:7" ht="31.5" x14ac:dyDescent="0.25">
      <c r="B28" s="32">
        <v>2</v>
      </c>
      <c r="C28" s="12" t="s">
        <v>31</v>
      </c>
      <c r="D28" s="11">
        <v>1098</v>
      </c>
    </row>
    <row r="29" spans="2:7" ht="15.75" x14ac:dyDescent="0.25">
      <c r="B29" s="30">
        <v>3</v>
      </c>
      <c r="C29" s="13" t="s">
        <v>6</v>
      </c>
      <c r="D29" s="14">
        <v>1</v>
      </c>
    </row>
    <row r="30" spans="2:7" ht="15.75" x14ac:dyDescent="0.25">
      <c r="B30" s="30">
        <v>4</v>
      </c>
      <c r="C30" s="10" t="s">
        <v>7</v>
      </c>
      <c r="D30" s="14">
        <v>35</v>
      </c>
    </row>
    <row r="31" spans="2:7" ht="15.75" x14ac:dyDescent="0.25">
      <c r="B31" s="74" t="s">
        <v>23</v>
      </c>
      <c r="C31" s="75"/>
      <c r="D31" s="32">
        <f>SUM(D27:D30)</f>
        <v>1164</v>
      </c>
    </row>
    <row r="35" spans="2:13" x14ac:dyDescent="0.25">
      <c r="G35" s="76" t="s">
        <v>47</v>
      </c>
      <c r="H35" s="76"/>
      <c r="I35" s="76"/>
      <c r="J35" s="76"/>
      <c r="K35" s="76"/>
      <c r="L35" s="76"/>
      <c r="M35" s="76"/>
    </row>
    <row r="36" spans="2:13" x14ac:dyDescent="0.25">
      <c r="G36" s="76"/>
      <c r="H36" s="76"/>
      <c r="I36" s="76"/>
      <c r="J36" s="76"/>
      <c r="K36" s="76"/>
      <c r="L36" s="76"/>
      <c r="M36" s="76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3" t="s">
        <v>19</v>
      </c>
      <c r="C41" s="73"/>
      <c r="D41" s="73"/>
    </row>
    <row r="42" spans="2:13" ht="15.75" x14ac:dyDescent="0.25">
      <c r="B42" s="30">
        <v>1</v>
      </c>
      <c r="C42" s="10" t="s">
        <v>10</v>
      </c>
      <c r="D42" s="11">
        <v>22</v>
      </c>
    </row>
    <row r="43" spans="2:13" ht="15.75" x14ac:dyDescent="0.25">
      <c r="B43" s="30">
        <v>2</v>
      </c>
      <c r="C43" s="10" t="s">
        <v>11</v>
      </c>
      <c r="D43" s="11">
        <v>1407</v>
      </c>
    </row>
    <row r="44" spans="2:13" ht="15.75" x14ac:dyDescent="0.25">
      <c r="B44" s="30">
        <v>3</v>
      </c>
      <c r="C44" s="10" t="s">
        <v>33</v>
      </c>
      <c r="D44" s="11">
        <v>0</v>
      </c>
    </row>
    <row r="45" spans="2:13" ht="15.75" x14ac:dyDescent="0.25">
      <c r="B45" s="30">
        <v>4</v>
      </c>
      <c r="C45" s="10" t="s">
        <v>32</v>
      </c>
      <c r="D45" s="11">
        <v>55</v>
      </c>
    </row>
    <row r="46" spans="2:13" ht="15.75" x14ac:dyDescent="0.25">
      <c r="B46" s="30">
        <v>5</v>
      </c>
      <c r="C46" s="10" t="s">
        <v>12</v>
      </c>
      <c r="D46" s="11">
        <v>0</v>
      </c>
    </row>
    <row r="47" spans="2:13" ht="15.75" x14ac:dyDescent="0.25">
      <c r="B47" s="66" t="s">
        <v>23</v>
      </c>
      <c r="C47" s="66"/>
      <c r="D47" s="7">
        <f>SUM(D42:D46)</f>
        <v>1484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14</v>
      </c>
      <c r="D57" s="19">
        <v>11</v>
      </c>
    </row>
    <row r="58" spans="2:7" ht="31.5" x14ac:dyDescent="0.25">
      <c r="B58" s="17">
        <v>2</v>
      </c>
      <c r="C58" s="18" t="s">
        <v>15</v>
      </c>
      <c r="D58" s="19">
        <v>1153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594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7" t="s">
        <v>23</v>
      </c>
      <c r="C62" s="78"/>
      <c r="D62" s="30">
        <f>SUM(D57:D61)</f>
        <v>1758</v>
      </c>
      <c r="G62" s="22" t="s">
        <v>22</v>
      </c>
    </row>
    <row r="66" spans="7:13" x14ac:dyDescent="0.25">
      <c r="G66" s="76" t="s">
        <v>47</v>
      </c>
      <c r="H66" s="76"/>
      <c r="I66" s="76"/>
      <c r="J66" s="76"/>
      <c r="K66" s="76"/>
      <c r="L66" s="76"/>
      <c r="M66" s="76"/>
    </row>
    <row r="67" spans="7:13" x14ac:dyDescent="0.25">
      <c r="G67" s="76"/>
      <c r="H67" s="76"/>
      <c r="I67" s="76"/>
      <c r="J67" s="76"/>
      <c r="K67" s="76"/>
      <c r="L67" s="76"/>
      <c r="M67" s="76"/>
    </row>
  </sheetData>
  <mergeCells count="19">
    <mergeCell ref="B26:D26"/>
    <mergeCell ref="B1:N1"/>
    <mergeCell ref="B2:N2"/>
    <mergeCell ref="B4:N4"/>
    <mergeCell ref="B7:D7"/>
    <mergeCell ref="B15:C15"/>
    <mergeCell ref="B17:C17"/>
    <mergeCell ref="B18:C18"/>
    <mergeCell ref="B19:C19"/>
    <mergeCell ref="B20:C20"/>
    <mergeCell ref="B21:C21"/>
    <mergeCell ref="B22:C22"/>
    <mergeCell ref="G66:M67"/>
    <mergeCell ref="B31:C31"/>
    <mergeCell ref="G35:M36"/>
    <mergeCell ref="B41:D41"/>
    <mergeCell ref="B47:C47"/>
    <mergeCell ref="B56:D56"/>
    <mergeCell ref="B62:C6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D22" sqref="D22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7" t="s">
        <v>50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29"/>
      <c r="P1" s="1"/>
    </row>
    <row r="2" spans="1:16" ht="23.25" x14ac:dyDescent="0.35">
      <c r="A2" s="28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28"/>
    </row>
    <row r="4" spans="1:16" ht="23.25" x14ac:dyDescent="0.35">
      <c r="B4" s="70" t="s">
        <v>49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6" ht="23.25" x14ac:dyDescent="0.35">
      <c r="B5" s="35"/>
      <c r="C5" s="35"/>
      <c r="D5" s="35"/>
      <c r="E5" s="35"/>
      <c r="F5" s="35"/>
      <c r="G5" s="21" t="s">
        <v>21</v>
      </c>
      <c r="H5" s="35"/>
      <c r="I5" s="35"/>
      <c r="J5" s="35"/>
      <c r="K5" s="35"/>
      <c r="L5" s="35"/>
      <c r="M5" s="35"/>
      <c r="N5" s="35"/>
    </row>
    <row r="6" spans="1:16" ht="23.25" x14ac:dyDescent="0.35">
      <c r="B6" s="20" t="s">
        <v>20</v>
      </c>
      <c r="E6" s="35"/>
      <c r="F6" s="35"/>
      <c r="G6" s="35"/>
      <c r="H6" s="35"/>
      <c r="I6" s="35"/>
      <c r="J6" s="35"/>
      <c r="K6" s="35"/>
      <c r="L6" s="35"/>
      <c r="M6" s="35"/>
      <c r="N6" s="35"/>
    </row>
    <row r="7" spans="1:16" ht="23.25" x14ac:dyDescent="0.35">
      <c r="B7" s="73" t="s">
        <v>8</v>
      </c>
      <c r="C7" s="73"/>
      <c r="D7" s="73"/>
      <c r="E7" s="35"/>
      <c r="F7" s="35"/>
      <c r="G7" s="35"/>
      <c r="H7" s="35"/>
      <c r="I7" s="35"/>
      <c r="J7" s="35"/>
      <c r="K7" s="35"/>
      <c r="L7" s="35"/>
      <c r="M7" s="35"/>
      <c r="N7" s="35"/>
    </row>
    <row r="8" spans="1:16" ht="23.25" x14ac:dyDescent="0.35">
      <c r="B8" s="34">
        <v>1</v>
      </c>
      <c r="C8" s="4" t="s">
        <v>1</v>
      </c>
      <c r="D8" s="19">
        <v>637</v>
      </c>
      <c r="E8" s="35"/>
      <c r="F8" s="35"/>
      <c r="G8" s="35"/>
      <c r="H8" s="35"/>
      <c r="I8" s="35"/>
      <c r="J8" s="35"/>
      <c r="K8" s="35"/>
      <c r="L8" s="35"/>
      <c r="M8" s="35"/>
      <c r="N8" s="35"/>
    </row>
    <row r="9" spans="1:16" ht="15.75" x14ac:dyDescent="0.25">
      <c r="B9" s="34">
        <v>2</v>
      </c>
      <c r="C9" s="5" t="s">
        <v>30</v>
      </c>
      <c r="D9" s="19">
        <v>626</v>
      </c>
    </row>
    <row r="10" spans="1:16" ht="15.75" x14ac:dyDescent="0.25">
      <c r="B10" s="34">
        <v>3</v>
      </c>
      <c r="C10" s="5" t="s">
        <v>2</v>
      </c>
      <c r="D10" s="19">
        <v>326</v>
      </c>
    </row>
    <row r="11" spans="1:16" ht="31.5" x14ac:dyDescent="0.25">
      <c r="B11" s="34">
        <v>4</v>
      </c>
      <c r="C11" s="4" t="s">
        <v>3</v>
      </c>
      <c r="D11" s="19">
        <v>20</v>
      </c>
    </row>
    <row r="12" spans="1:16" ht="15.75" x14ac:dyDescent="0.25">
      <c r="B12" s="34">
        <v>5</v>
      </c>
      <c r="C12" s="4" t="s">
        <v>4</v>
      </c>
      <c r="D12" s="19">
        <v>81</v>
      </c>
    </row>
    <row r="13" spans="1:16" ht="15.75" x14ac:dyDescent="0.25">
      <c r="B13" s="34">
        <v>6</v>
      </c>
      <c r="C13" s="4" t="s">
        <v>37</v>
      </c>
      <c r="D13" s="6">
        <v>0</v>
      </c>
    </row>
    <row r="14" spans="1:16" ht="15.75" x14ac:dyDescent="0.25">
      <c r="B14" s="34">
        <v>7</v>
      </c>
      <c r="C14" s="4" t="s">
        <v>38</v>
      </c>
      <c r="D14" s="19">
        <v>2</v>
      </c>
    </row>
    <row r="15" spans="1:16" ht="15.75" x14ac:dyDescent="0.25">
      <c r="B15" s="66" t="s">
        <v>23</v>
      </c>
      <c r="C15" s="66"/>
      <c r="D15" s="26">
        <f>SUM(D8+D10+D9+D13+D11)</f>
        <v>1609</v>
      </c>
    </row>
    <row r="17" spans="2:7" ht="15.75" x14ac:dyDescent="0.25">
      <c r="B17" s="71" t="s">
        <v>34</v>
      </c>
      <c r="C17" s="72"/>
      <c r="D17" s="23">
        <v>1609</v>
      </c>
      <c r="G17" s="22" t="s">
        <v>46</v>
      </c>
    </row>
    <row r="18" spans="2:7" ht="15.75" x14ac:dyDescent="0.25">
      <c r="B18" s="71" t="s">
        <v>35</v>
      </c>
      <c r="C18" s="72"/>
      <c r="D18" s="23">
        <v>20</v>
      </c>
    </row>
    <row r="19" spans="2:7" ht="15.75" x14ac:dyDescent="0.25">
      <c r="B19" s="71" t="s">
        <v>39</v>
      </c>
      <c r="C19" s="72"/>
      <c r="D19" s="23">
        <v>46</v>
      </c>
    </row>
    <row r="20" spans="2:7" ht="15.75" x14ac:dyDescent="0.25">
      <c r="B20" s="71" t="s">
        <v>37</v>
      </c>
      <c r="C20" s="72"/>
      <c r="D20" s="23">
        <v>0</v>
      </c>
    </row>
    <row r="21" spans="2:7" ht="15.75" x14ac:dyDescent="0.25">
      <c r="B21" s="71" t="s">
        <v>38</v>
      </c>
      <c r="C21" s="72"/>
      <c r="D21" s="23">
        <v>2</v>
      </c>
      <c r="G21" s="21" t="s">
        <v>25</v>
      </c>
    </row>
    <row r="22" spans="2:7" ht="15.75" x14ac:dyDescent="0.25">
      <c r="B22" s="71" t="s">
        <v>36</v>
      </c>
      <c r="C22" s="72"/>
      <c r="D22" s="27">
        <f>(D17)-D18</f>
        <v>1589</v>
      </c>
    </row>
    <row r="25" spans="2:7" ht="15.75" x14ac:dyDescent="0.25">
      <c r="B25" s="20" t="s">
        <v>24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33">
        <v>1</v>
      </c>
      <c r="C27" s="10" t="s">
        <v>5</v>
      </c>
      <c r="D27" s="11">
        <v>31</v>
      </c>
    </row>
    <row r="28" spans="2:7" ht="31.5" x14ac:dyDescent="0.25">
      <c r="B28" s="34">
        <v>2</v>
      </c>
      <c r="C28" s="12" t="s">
        <v>31</v>
      </c>
      <c r="D28" s="11">
        <v>1184</v>
      </c>
    </row>
    <row r="29" spans="2:7" ht="15.75" x14ac:dyDescent="0.25">
      <c r="B29" s="33">
        <v>3</v>
      </c>
      <c r="C29" s="13" t="s">
        <v>6</v>
      </c>
      <c r="D29" s="14">
        <v>1</v>
      </c>
    </row>
    <row r="30" spans="2:7" ht="15.75" x14ac:dyDescent="0.25">
      <c r="B30" s="33">
        <v>4</v>
      </c>
      <c r="C30" s="10" t="s">
        <v>7</v>
      </c>
      <c r="D30" s="14">
        <v>47</v>
      </c>
    </row>
    <row r="31" spans="2:7" ht="15.75" x14ac:dyDescent="0.25">
      <c r="B31" s="74" t="s">
        <v>23</v>
      </c>
      <c r="C31" s="75"/>
      <c r="D31" s="34">
        <f>SUM(D27:D30)</f>
        <v>1263</v>
      </c>
    </row>
    <row r="35" spans="2:13" x14ac:dyDescent="0.25">
      <c r="G35" s="76" t="s">
        <v>47</v>
      </c>
      <c r="H35" s="76"/>
      <c r="I35" s="76"/>
      <c r="J35" s="76"/>
      <c r="K35" s="76"/>
      <c r="L35" s="76"/>
      <c r="M35" s="76"/>
    </row>
    <row r="36" spans="2:13" x14ac:dyDescent="0.25">
      <c r="G36" s="76"/>
      <c r="H36" s="76"/>
      <c r="I36" s="76"/>
      <c r="J36" s="76"/>
      <c r="K36" s="76"/>
      <c r="L36" s="76"/>
      <c r="M36" s="76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3" t="s">
        <v>19</v>
      </c>
      <c r="C41" s="73"/>
      <c r="D41" s="73"/>
    </row>
    <row r="42" spans="2:13" ht="15.75" x14ac:dyDescent="0.25">
      <c r="B42" s="33">
        <v>1</v>
      </c>
      <c r="C42" s="10" t="s">
        <v>10</v>
      </c>
      <c r="D42" s="11">
        <v>44</v>
      </c>
    </row>
    <row r="43" spans="2:13" ht="15.75" x14ac:dyDescent="0.25">
      <c r="B43" s="33">
        <v>2</v>
      </c>
      <c r="C43" s="10" t="s">
        <v>11</v>
      </c>
      <c r="D43" s="11">
        <v>1499</v>
      </c>
    </row>
    <row r="44" spans="2:13" ht="15.75" x14ac:dyDescent="0.25">
      <c r="B44" s="33">
        <v>3</v>
      </c>
      <c r="C44" s="10" t="s">
        <v>33</v>
      </c>
      <c r="D44" s="11">
        <v>0</v>
      </c>
    </row>
    <row r="45" spans="2:13" ht="15.75" x14ac:dyDescent="0.25">
      <c r="B45" s="33">
        <v>4</v>
      </c>
      <c r="C45" s="10" t="s">
        <v>32</v>
      </c>
      <c r="D45" s="11">
        <v>66</v>
      </c>
    </row>
    <row r="46" spans="2:13" ht="15.75" x14ac:dyDescent="0.25">
      <c r="B46" s="33">
        <v>5</v>
      </c>
      <c r="C46" s="10" t="s">
        <v>12</v>
      </c>
      <c r="D46" s="11">
        <v>0</v>
      </c>
    </row>
    <row r="47" spans="2:13" ht="15.75" x14ac:dyDescent="0.25">
      <c r="B47" s="66" t="s">
        <v>23</v>
      </c>
      <c r="C47" s="66"/>
      <c r="D47" s="7">
        <f>SUM(D42:D46)</f>
        <v>1609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14</v>
      </c>
      <c r="D57" s="19">
        <v>1</v>
      </c>
    </row>
    <row r="58" spans="2:7" ht="31.5" x14ac:dyDescent="0.25">
      <c r="B58" s="17">
        <v>2</v>
      </c>
      <c r="C58" s="18" t="s">
        <v>15</v>
      </c>
      <c r="D58" s="19">
        <v>1262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655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7" t="s">
        <v>23</v>
      </c>
      <c r="C62" s="78"/>
      <c r="D62" s="33">
        <f>SUM(D57:D61)</f>
        <v>1918</v>
      </c>
      <c r="G62" s="22" t="s">
        <v>22</v>
      </c>
    </row>
    <row r="66" spans="7:13" x14ac:dyDescent="0.25">
      <c r="G66" s="76" t="s">
        <v>48</v>
      </c>
      <c r="H66" s="76"/>
      <c r="I66" s="76"/>
      <c r="J66" s="76"/>
      <c r="K66" s="76"/>
      <c r="L66" s="76"/>
      <c r="M66" s="76"/>
    </row>
    <row r="67" spans="7:13" ht="33" customHeight="1" x14ac:dyDescent="0.25">
      <c r="G67" s="76"/>
      <c r="H67" s="76"/>
      <c r="I67" s="76"/>
      <c r="J67" s="76"/>
      <c r="K67" s="76"/>
      <c r="L67" s="76"/>
      <c r="M67" s="76"/>
    </row>
  </sheetData>
  <mergeCells count="19"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B31:C31"/>
    <mergeCell ref="B47:C47"/>
    <mergeCell ref="B41:D41"/>
    <mergeCell ref="G35:M36"/>
    <mergeCell ref="G66:M67"/>
    <mergeCell ref="B62:C62"/>
    <mergeCell ref="B56:D56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C9" sqref="C9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7" t="s">
        <v>52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29"/>
      <c r="P1" s="1"/>
    </row>
    <row r="2" spans="1:16" ht="23.25" x14ac:dyDescent="0.35">
      <c r="A2" s="28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28"/>
    </row>
    <row r="4" spans="1:16" ht="23.25" x14ac:dyDescent="0.35">
      <c r="B4" s="70" t="s">
        <v>51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6" ht="23.25" x14ac:dyDescent="0.35">
      <c r="B5" s="38"/>
      <c r="C5" s="38"/>
      <c r="D5" s="38"/>
      <c r="E5" s="38"/>
      <c r="F5" s="38"/>
      <c r="G5" s="21" t="s">
        <v>21</v>
      </c>
      <c r="H5" s="38"/>
      <c r="I5" s="38"/>
      <c r="J5" s="38"/>
      <c r="K5" s="38"/>
      <c r="L5" s="38"/>
      <c r="M5" s="38"/>
      <c r="N5" s="38"/>
    </row>
    <row r="6" spans="1:16" ht="23.25" x14ac:dyDescent="0.35">
      <c r="B6" s="20" t="s">
        <v>20</v>
      </c>
      <c r="E6" s="38"/>
      <c r="F6" s="38"/>
      <c r="G6" s="38"/>
      <c r="H6" s="38"/>
      <c r="I6" s="38"/>
      <c r="J6" s="38"/>
      <c r="K6" s="38"/>
      <c r="L6" s="38"/>
      <c r="M6" s="38"/>
      <c r="N6" s="38"/>
    </row>
    <row r="7" spans="1:16" ht="23.25" x14ac:dyDescent="0.35">
      <c r="B7" s="73" t="s">
        <v>8</v>
      </c>
      <c r="C7" s="73"/>
      <c r="D7" s="73"/>
      <c r="E7" s="38"/>
      <c r="F7" s="38"/>
      <c r="G7" s="38"/>
      <c r="H7" s="38"/>
      <c r="I7" s="38"/>
      <c r="J7" s="38"/>
      <c r="K7" s="38"/>
      <c r="L7" s="38"/>
      <c r="M7" s="38"/>
      <c r="N7" s="38"/>
    </row>
    <row r="8" spans="1:16" ht="23.25" x14ac:dyDescent="0.35">
      <c r="B8" s="37">
        <v>1</v>
      </c>
      <c r="C8" s="4" t="s">
        <v>1</v>
      </c>
      <c r="D8" s="19">
        <v>437</v>
      </c>
      <c r="E8" s="38"/>
      <c r="F8" s="38"/>
      <c r="G8" s="38"/>
      <c r="H8" s="38"/>
      <c r="I8" s="38"/>
      <c r="J8" s="38"/>
      <c r="K8" s="38"/>
      <c r="L8" s="38"/>
      <c r="M8" s="38"/>
      <c r="N8" s="38"/>
    </row>
    <row r="9" spans="1:16" ht="15.75" x14ac:dyDescent="0.25">
      <c r="B9" s="37">
        <v>2</v>
      </c>
      <c r="C9" s="5" t="s">
        <v>30</v>
      </c>
      <c r="D9" s="19">
        <v>475</v>
      </c>
    </row>
    <row r="10" spans="1:16" ht="15.75" x14ac:dyDescent="0.25">
      <c r="B10" s="37">
        <v>3</v>
      </c>
      <c r="C10" s="5" t="s">
        <v>2</v>
      </c>
      <c r="D10" s="19">
        <v>208</v>
      </c>
    </row>
    <row r="11" spans="1:16" ht="31.5" x14ac:dyDescent="0.25">
      <c r="B11" s="37">
        <v>4</v>
      </c>
      <c r="C11" s="4" t="s">
        <v>3</v>
      </c>
      <c r="D11" s="19">
        <v>19</v>
      </c>
    </row>
    <row r="12" spans="1:16" ht="15.75" x14ac:dyDescent="0.25">
      <c r="B12" s="37">
        <v>5</v>
      </c>
      <c r="C12" s="4" t="s">
        <v>4</v>
      </c>
      <c r="D12" s="19">
        <v>54</v>
      </c>
    </row>
    <row r="13" spans="1:16" ht="15.75" x14ac:dyDescent="0.25">
      <c r="B13" s="37">
        <v>6</v>
      </c>
      <c r="C13" s="4" t="s">
        <v>37</v>
      </c>
      <c r="D13" s="6">
        <v>0</v>
      </c>
    </row>
    <row r="14" spans="1:16" ht="15.75" x14ac:dyDescent="0.25">
      <c r="B14" s="37">
        <v>7</v>
      </c>
      <c r="C14" s="4" t="s">
        <v>38</v>
      </c>
      <c r="D14" s="19">
        <v>0</v>
      </c>
    </row>
    <row r="15" spans="1:16" ht="15.75" x14ac:dyDescent="0.25">
      <c r="B15" s="66" t="s">
        <v>23</v>
      </c>
      <c r="C15" s="66"/>
      <c r="D15" s="26">
        <f>SUM(D8+D10+D9+D13+D11)</f>
        <v>1139</v>
      </c>
    </row>
    <row r="17" spans="2:7" ht="15.75" x14ac:dyDescent="0.25">
      <c r="B17" s="71" t="s">
        <v>34</v>
      </c>
      <c r="C17" s="72"/>
      <c r="D17" s="23">
        <v>1139</v>
      </c>
      <c r="G17" s="22" t="s">
        <v>46</v>
      </c>
    </row>
    <row r="18" spans="2:7" ht="15.75" x14ac:dyDescent="0.25">
      <c r="B18" s="71" t="s">
        <v>35</v>
      </c>
      <c r="C18" s="72"/>
      <c r="D18" s="23">
        <v>19</v>
      </c>
    </row>
    <row r="19" spans="2:7" ht="15.75" x14ac:dyDescent="0.25">
      <c r="B19" s="71" t="s">
        <v>39</v>
      </c>
      <c r="C19" s="72"/>
      <c r="D19" s="23">
        <v>54</v>
      </c>
    </row>
    <row r="20" spans="2:7" ht="15.75" x14ac:dyDescent="0.25">
      <c r="B20" s="71" t="s">
        <v>37</v>
      </c>
      <c r="C20" s="72"/>
      <c r="D20" s="23">
        <v>0</v>
      </c>
    </row>
    <row r="21" spans="2:7" ht="15.75" x14ac:dyDescent="0.25">
      <c r="B21" s="71" t="s">
        <v>38</v>
      </c>
      <c r="C21" s="72"/>
      <c r="D21" s="23">
        <v>0</v>
      </c>
      <c r="G21" s="21" t="s">
        <v>25</v>
      </c>
    </row>
    <row r="22" spans="2:7" ht="15.75" x14ac:dyDescent="0.25">
      <c r="B22" s="71" t="s">
        <v>36</v>
      </c>
      <c r="C22" s="72"/>
      <c r="D22" s="27">
        <f>(D17)-D18</f>
        <v>1120</v>
      </c>
    </row>
    <row r="25" spans="2:7" ht="15.75" x14ac:dyDescent="0.25">
      <c r="B25" s="20" t="s">
        <v>24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36">
        <v>1</v>
      </c>
      <c r="C27" s="10" t="s">
        <v>5</v>
      </c>
      <c r="D27" s="11">
        <v>12</v>
      </c>
    </row>
    <row r="28" spans="2:7" ht="31.5" x14ac:dyDescent="0.25">
      <c r="B28" s="37">
        <v>2</v>
      </c>
      <c r="C28" s="12" t="s">
        <v>31</v>
      </c>
      <c r="D28" s="11">
        <v>886</v>
      </c>
    </row>
    <row r="29" spans="2:7" ht="15.75" x14ac:dyDescent="0.25">
      <c r="B29" s="36">
        <v>3</v>
      </c>
      <c r="C29" s="13" t="s">
        <v>6</v>
      </c>
      <c r="D29" s="14">
        <v>0</v>
      </c>
    </row>
    <row r="30" spans="2:7" ht="15.75" x14ac:dyDescent="0.25">
      <c r="B30" s="36">
        <v>4</v>
      </c>
      <c r="C30" s="10" t="s">
        <v>7</v>
      </c>
      <c r="D30" s="14">
        <v>14</v>
      </c>
    </row>
    <row r="31" spans="2:7" ht="15.75" x14ac:dyDescent="0.25">
      <c r="B31" s="74" t="s">
        <v>23</v>
      </c>
      <c r="C31" s="75"/>
      <c r="D31" s="37">
        <f>SUM(D27:D30)</f>
        <v>912</v>
      </c>
    </row>
    <row r="35" spans="2:13" x14ac:dyDescent="0.25">
      <c r="G35" s="76" t="s">
        <v>47</v>
      </c>
      <c r="H35" s="76"/>
      <c r="I35" s="76"/>
      <c r="J35" s="76"/>
      <c r="K35" s="76"/>
      <c r="L35" s="76"/>
      <c r="M35" s="76"/>
    </row>
    <row r="36" spans="2:13" x14ac:dyDescent="0.25">
      <c r="G36" s="76"/>
      <c r="H36" s="76"/>
      <c r="I36" s="76"/>
      <c r="J36" s="76"/>
      <c r="K36" s="76"/>
      <c r="L36" s="76"/>
      <c r="M36" s="76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3" t="s">
        <v>19</v>
      </c>
      <c r="C41" s="73"/>
      <c r="D41" s="73"/>
    </row>
    <row r="42" spans="2:13" ht="15.75" x14ac:dyDescent="0.25">
      <c r="B42" s="36">
        <v>1</v>
      </c>
      <c r="C42" s="10" t="s">
        <v>10</v>
      </c>
      <c r="D42" s="11">
        <v>23</v>
      </c>
    </row>
    <row r="43" spans="2:13" ht="15.75" x14ac:dyDescent="0.25">
      <c r="B43" s="36">
        <v>2</v>
      </c>
      <c r="C43" s="10" t="s">
        <v>11</v>
      </c>
      <c r="D43" s="11">
        <v>1066</v>
      </c>
    </row>
    <row r="44" spans="2:13" ht="15.75" x14ac:dyDescent="0.25">
      <c r="B44" s="36">
        <v>3</v>
      </c>
      <c r="C44" s="10" t="s">
        <v>33</v>
      </c>
      <c r="D44" s="11">
        <v>0</v>
      </c>
    </row>
    <row r="45" spans="2:13" ht="15.75" x14ac:dyDescent="0.25">
      <c r="B45" s="36">
        <v>4</v>
      </c>
      <c r="C45" s="10" t="s">
        <v>32</v>
      </c>
      <c r="D45" s="11">
        <v>50</v>
      </c>
    </row>
    <row r="46" spans="2:13" ht="15.75" x14ac:dyDescent="0.25">
      <c r="B46" s="36">
        <v>5</v>
      </c>
      <c r="C46" s="10" t="s">
        <v>12</v>
      </c>
      <c r="D46" s="11">
        <v>0</v>
      </c>
    </row>
    <row r="47" spans="2:13" ht="15.75" x14ac:dyDescent="0.25">
      <c r="B47" s="66" t="s">
        <v>23</v>
      </c>
      <c r="C47" s="66"/>
      <c r="D47" s="7">
        <f>SUM(D42:D46)</f>
        <v>1139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14</v>
      </c>
      <c r="D57" s="19">
        <v>1</v>
      </c>
    </row>
    <row r="58" spans="2:7" ht="31.5" x14ac:dyDescent="0.25">
      <c r="B58" s="17">
        <v>2</v>
      </c>
      <c r="C58" s="18" t="s">
        <v>15</v>
      </c>
      <c r="D58" s="19">
        <v>910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402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7" t="s">
        <v>23</v>
      </c>
      <c r="C62" s="78"/>
      <c r="D62" s="36">
        <f>SUM(D57:D61)</f>
        <v>1313</v>
      </c>
      <c r="G62" s="22" t="s">
        <v>22</v>
      </c>
    </row>
    <row r="66" spans="7:13" x14ac:dyDescent="0.25">
      <c r="G66" s="76" t="s">
        <v>48</v>
      </c>
      <c r="H66" s="76"/>
      <c r="I66" s="76"/>
      <c r="J66" s="76"/>
      <c r="K66" s="76"/>
      <c r="L66" s="76"/>
      <c r="M66" s="76"/>
    </row>
    <row r="67" spans="7:13" ht="33" customHeight="1" x14ac:dyDescent="0.25">
      <c r="G67" s="76"/>
      <c r="H67" s="76"/>
      <c r="I67" s="76"/>
      <c r="J67" s="76"/>
      <c r="K67" s="76"/>
      <c r="L67" s="76"/>
      <c r="M67" s="76"/>
    </row>
  </sheetData>
  <mergeCells count="19"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B31:C31"/>
    <mergeCell ref="B47:C47"/>
    <mergeCell ref="B41:D41"/>
    <mergeCell ref="G35:M36"/>
    <mergeCell ref="G66:M67"/>
    <mergeCell ref="B62:C62"/>
    <mergeCell ref="B56:D56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E22" sqref="E22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7" t="s">
        <v>54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29"/>
      <c r="P1" s="1"/>
    </row>
    <row r="2" spans="1:16" ht="23.25" x14ac:dyDescent="0.35">
      <c r="A2" s="28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28"/>
    </row>
    <row r="4" spans="1:16" ht="23.25" x14ac:dyDescent="0.35">
      <c r="B4" s="70" t="s">
        <v>53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6" ht="23.25" x14ac:dyDescent="0.35">
      <c r="B5" s="40"/>
      <c r="C5" s="40"/>
      <c r="D5" s="40"/>
      <c r="E5" s="40"/>
      <c r="F5" s="40"/>
      <c r="G5" s="21" t="s">
        <v>21</v>
      </c>
      <c r="H5" s="40"/>
      <c r="I5" s="40"/>
      <c r="J5" s="40"/>
      <c r="K5" s="40"/>
      <c r="L5" s="40"/>
      <c r="M5" s="40"/>
      <c r="N5" s="40"/>
    </row>
    <row r="6" spans="1:16" ht="23.25" x14ac:dyDescent="0.35">
      <c r="B6" s="20" t="s">
        <v>20</v>
      </c>
      <c r="E6" s="40"/>
      <c r="F6" s="40"/>
      <c r="G6" s="40"/>
      <c r="H6" s="40"/>
      <c r="I6" s="40"/>
      <c r="J6" s="40"/>
      <c r="K6" s="40"/>
      <c r="L6" s="40"/>
      <c r="M6" s="40"/>
      <c r="N6" s="40"/>
    </row>
    <row r="7" spans="1:16" ht="23.25" x14ac:dyDescent="0.35">
      <c r="B7" s="73" t="s">
        <v>8</v>
      </c>
      <c r="C7" s="73"/>
      <c r="D7" s="73"/>
      <c r="E7" s="40"/>
      <c r="F7" s="40"/>
      <c r="G7" s="40"/>
      <c r="H7" s="40"/>
      <c r="I7" s="40"/>
      <c r="J7" s="40"/>
      <c r="K7" s="40"/>
      <c r="L7" s="40"/>
      <c r="M7" s="40"/>
      <c r="N7" s="40"/>
    </row>
    <row r="8" spans="1:16" ht="23.25" x14ac:dyDescent="0.35">
      <c r="B8" s="41">
        <v>1</v>
      </c>
      <c r="C8" s="4" t="s">
        <v>1</v>
      </c>
      <c r="D8" s="19">
        <v>445</v>
      </c>
      <c r="E8" s="40"/>
      <c r="F8" s="40"/>
      <c r="G8" s="40"/>
      <c r="H8" s="40"/>
      <c r="I8" s="40"/>
      <c r="J8" s="40"/>
      <c r="K8" s="40"/>
      <c r="L8" s="40"/>
      <c r="M8" s="40"/>
      <c r="N8" s="40"/>
    </row>
    <row r="9" spans="1:16" ht="15.75" x14ac:dyDescent="0.25">
      <c r="B9" s="41">
        <v>2</v>
      </c>
      <c r="C9" s="5" t="s">
        <v>30</v>
      </c>
      <c r="D9" s="19">
        <v>429</v>
      </c>
    </row>
    <row r="10" spans="1:16" ht="15.75" x14ac:dyDescent="0.25">
      <c r="B10" s="41">
        <v>3</v>
      </c>
      <c r="C10" s="5" t="s">
        <v>2</v>
      </c>
      <c r="D10" s="19">
        <v>187</v>
      </c>
    </row>
    <row r="11" spans="1:16" ht="31.5" x14ac:dyDescent="0.25">
      <c r="B11" s="41">
        <v>4</v>
      </c>
      <c r="C11" s="4" t="s">
        <v>3</v>
      </c>
      <c r="D11" s="19">
        <v>17</v>
      </c>
    </row>
    <row r="12" spans="1:16" ht="15.75" x14ac:dyDescent="0.25">
      <c r="B12" s="41">
        <v>5</v>
      </c>
      <c r="C12" s="4" t="s">
        <v>4</v>
      </c>
      <c r="D12" s="19">
        <v>41</v>
      </c>
    </row>
    <row r="13" spans="1:16" ht="15.75" x14ac:dyDescent="0.25">
      <c r="B13" s="41">
        <v>6</v>
      </c>
      <c r="C13" s="4" t="s">
        <v>37</v>
      </c>
      <c r="D13" s="6">
        <v>0</v>
      </c>
    </row>
    <row r="14" spans="1:16" ht="15.75" x14ac:dyDescent="0.25">
      <c r="B14" s="41">
        <v>7</v>
      </c>
      <c r="C14" s="4" t="s">
        <v>38</v>
      </c>
      <c r="D14" s="19">
        <v>0</v>
      </c>
    </row>
    <row r="15" spans="1:16" ht="15.75" x14ac:dyDescent="0.25">
      <c r="B15" s="66" t="s">
        <v>23</v>
      </c>
      <c r="C15" s="66"/>
      <c r="D15" s="26">
        <f>SUM(D8+D10+D9+D13+D11)</f>
        <v>1078</v>
      </c>
    </row>
    <row r="17" spans="2:7" ht="15.75" x14ac:dyDescent="0.25">
      <c r="B17" s="71" t="s">
        <v>34</v>
      </c>
      <c r="C17" s="72"/>
      <c r="D17" s="23">
        <v>1078</v>
      </c>
      <c r="G17" s="22" t="s">
        <v>46</v>
      </c>
    </row>
    <row r="18" spans="2:7" ht="15.75" x14ac:dyDescent="0.25">
      <c r="B18" s="71" t="s">
        <v>35</v>
      </c>
      <c r="C18" s="72"/>
      <c r="D18" s="23">
        <v>17</v>
      </c>
    </row>
    <row r="19" spans="2:7" ht="15.75" x14ac:dyDescent="0.25">
      <c r="B19" s="71" t="s">
        <v>39</v>
      </c>
      <c r="C19" s="72"/>
      <c r="D19" s="23">
        <v>41</v>
      </c>
    </row>
    <row r="20" spans="2:7" ht="15.75" x14ac:dyDescent="0.25">
      <c r="B20" s="71" t="s">
        <v>37</v>
      </c>
      <c r="C20" s="72"/>
      <c r="D20" s="23">
        <v>0</v>
      </c>
    </row>
    <row r="21" spans="2:7" ht="15.75" x14ac:dyDescent="0.25">
      <c r="B21" s="71" t="s">
        <v>38</v>
      </c>
      <c r="C21" s="72"/>
      <c r="D21" s="23">
        <v>0</v>
      </c>
      <c r="G21" s="21" t="s">
        <v>25</v>
      </c>
    </row>
    <row r="22" spans="2:7" ht="15.75" x14ac:dyDescent="0.25">
      <c r="B22" s="71" t="s">
        <v>36</v>
      </c>
      <c r="C22" s="72"/>
      <c r="D22" s="27">
        <f>(D17)-D18</f>
        <v>1061</v>
      </c>
    </row>
    <row r="25" spans="2:7" ht="15.75" x14ac:dyDescent="0.25">
      <c r="B25" s="20" t="s">
        <v>24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39">
        <v>1</v>
      </c>
      <c r="C27" s="10" t="s">
        <v>5</v>
      </c>
      <c r="D27" s="11">
        <v>23</v>
      </c>
    </row>
    <row r="28" spans="2:7" ht="31.5" x14ac:dyDescent="0.25">
      <c r="B28" s="41">
        <v>2</v>
      </c>
      <c r="C28" s="12" t="s">
        <v>31</v>
      </c>
      <c r="D28" s="11">
        <v>810</v>
      </c>
    </row>
    <row r="29" spans="2:7" ht="15.75" x14ac:dyDescent="0.25">
      <c r="B29" s="39">
        <v>3</v>
      </c>
      <c r="C29" s="13" t="s">
        <v>6</v>
      </c>
      <c r="D29" s="14">
        <v>0</v>
      </c>
    </row>
    <row r="30" spans="2:7" ht="15.75" x14ac:dyDescent="0.25">
      <c r="B30" s="39">
        <v>4</v>
      </c>
      <c r="C30" s="10" t="s">
        <v>7</v>
      </c>
      <c r="D30" s="14">
        <v>41</v>
      </c>
    </row>
    <row r="31" spans="2:7" ht="15.75" x14ac:dyDescent="0.25">
      <c r="B31" s="74" t="s">
        <v>23</v>
      </c>
      <c r="C31" s="75"/>
      <c r="D31" s="41">
        <f>SUM(D27:D30)</f>
        <v>874</v>
      </c>
    </row>
    <row r="35" spans="2:13" x14ac:dyDescent="0.25">
      <c r="G35" s="76" t="s">
        <v>47</v>
      </c>
      <c r="H35" s="76"/>
      <c r="I35" s="76"/>
      <c r="J35" s="76"/>
      <c r="K35" s="76"/>
      <c r="L35" s="76"/>
      <c r="M35" s="76"/>
    </row>
    <row r="36" spans="2:13" x14ac:dyDescent="0.25">
      <c r="G36" s="76"/>
      <c r="H36" s="76"/>
      <c r="I36" s="76"/>
      <c r="J36" s="76"/>
      <c r="K36" s="76"/>
      <c r="L36" s="76"/>
      <c r="M36" s="76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3" t="s">
        <v>19</v>
      </c>
      <c r="C41" s="73"/>
      <c r="D41" s="73"/>
    </row>
    <row r="42" spans="2:13" ht="15.75" x14ac:dyDescent="0.25">
      <c r="B42" s="39">
        <v>1</v>
      </c>
      <c r="C42" s="10" t="s">
        <v>10</v>
      </c>
      <c r="D42" s="11">
        <v>36</v>
      </c>
    </row>
    <row r="43" spans="2:13" ht="15.75" x14ac:dyDescent="0.25">
      <c r="B43" s="39">
        <v>2</v>
      </c>
      <c r="C43" s="10" t="s">
        <v>11</v>
      </c>
      <c r="D43" s="11">
        <v>984</v>
      </c>
    </row>
    <row r="44" spans="2:13" ht="15.75" x14ac:dyDescent="0.25">
      <c r="B44" s="39">
        <v>3</v>
      </c>
      <c r="C44" s="10" t="s">
        <v>33</v>
      </c>
      <c r="D44" s="11">
        <v>0</v>
      </c>
    </row>
    <row r="45" spans="2:13" ht="15.75" x14ac:dyDescent="0.25">
      <c r="B45" s="39">
        <v>4</v>
      </c>
      <c r="C45" s="10" t="s">
        <v>32</v>
      </c>
      <c r="D45" s="11">
        <v>58</v>
      </c>
    </row>
    <row r="46" spans="2:13" ht="15.75" x14ac:dyDescent="0.25">
      <c r="B46" s="39">
        <v>5</v>
      </c>
      <c r="C46" s="10" t="s">
        <v>12</v>
      </c>
      <c r="D46" s="11">
        <v>0</v>
      </c>
    </row>
    <row r="47" spans="2:13" ht="15.75" x14ac:dyDescent="0.25">
      <c r="B47" s="66" t="s">
        <v>23</v>
      </c>
      <c r="C47" s="66"/>
      <c r="D47" s="7">
        <f>SUM(D42:D46)</f>
        <v>1078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14</v>
      </c>
      <c r="D57" s="19">
        <v>1</v>
      </c>
    </row>
    <row r="58" spans="2:7" ht="31.5" x14ac:dyDescent="0.25">
      <c r="B58" s="17">
        <v>2</v>
      </c>
      <c r="C58" s="18" t="s">
        <v>15</v>
      </c>
      <c r="D58" s="19">
        <v>873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471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7" t="s">
        <v>23</v>
      </c>
      <c r="C62" s="78"/>
      <c r="D62" s="39">
        <f>SUM(D57:D61)</f>
        <v>1345</v>
      </c>
      <c r="G62" s="22" t="s">
        <v>22</v>
      </c>
    </row>
    <row r="66" spans="7:13" x14ac:dyDescent="0.25">
      <c r="G66" s="76" t="s">
        <v>48</v>
      </c>
      <c r="H66" s="76"/>
      <c r="I66" s="76"/>
      <c r="J66" s="76"/>
      <c r="K66" s="76"/>
      <c r="L66" s="76"/>
      <c r="M66" s="76"/>
    </row>
    <row r="67" spans="7:13" ht="33" customHeight="1" x14ac:dyDescent="0.25">
      <c r="G67" s="76"/>
      <c r="H67" s="76"/>
      <c r="I67" s="76"/>
      <c r="J67" s="76"/>
      <c r="K67" s="76"/>
      <c r="L67" s="76"/>
      <c r="M67" s="76"/>
    </row>
  </sheetData>
  <mergeCells count="19">
    <mergeCell ref="B31:C31"/>
    <mergeCell ref="B47:C47"/>
    <mergeCell ref="B41:D41"/>
    <mergeCell ref="G35:M36"/>
    <mergeCell ref="G66:M67"/>
    <mergeCell ref="B62:C62"/>
    <mergeCell ref="B56:D56"/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E22" sqref="E22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7" t="s">
        <v>56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29"/>
      <c r="P1" s="1"/>
    </row>
    <row r="2" spans="1:16" ht="23.25" x14ac:dyDescent="0.35">
      <c r="A2" s="28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28"/>
    </row>
    <row r="4" spans="1:16" ht="23.25" x14ac:dyDescent="0.35">
      <c r="B4" s="70" t="s">
        <v>55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6" ht="23.25" x14ac:dyDescent="0.35">
      <c r="B5" s="44"/>
      <c r="C5" s="44"/>
      <c r="D5" s="44"/>
      <c r="E5" s="44"/>
      <c r="F5" s="44"/>
      <c r="G5" s="21" t="s">
        <v>21</v>
      </c>
      <c r="H5" s="44"/>
      <c r="I5" s="44"/>
      <c r="J5" s="44"/>
      <c r="K5" s="44"/>
      <c r="L5" s="44"/>
      <c r="M5" s="44"/>
      <c r="N5" s="44"/>
    </row>
    <row r="6" spans="1:16" ht="23.25" x14ac:dyDescent="0.35">
      <c r="B6" s="20" t="s">
        <v>20</v>
      </c>
      <c r="E6" s="44"/>
      <c r="F6" s="44"/>
      <c r="G6" s="44"/>
      <c r="H6" s="44"/>
      <c r="I6" s="44"/>
      <c r="J6" s="44"/>
      <c r="K6" s="44"/>
      <c r="L6" s="44"/>
      <c r="M6" s="44"/>
      <c r="N6" s="44"/>
    </row>
    <row r="7" spans="1:16" ht="23.25" x14ac:dyDescent="0.35">
      <c r="B7" s="73" t="s">
        <v>8</v>
      </c>
      <c r="C7" s="73"/>
      <c r="D7" s="73"/>
      <c r="E7" s="44"/>
      <c r="F7" s="44"/>
      <c r="G7" s="44"/>
      <c r="H7" s="44"/>
      <c r="I7" s="44"/>
      <c r="J7" s="44"/>
      <c r="K7" s="44"/>
      <c r="L7" s="44"/>
      <c r="M7" s="44"/>
      <c r="N7" s="44"/>
    </row>
    <row r="8" spans="1:16" ht="23.25" x14ac:dyDescent="0.35">
      <c r="B8" s="43">
        <v>1</v>
      </c>
      <c r="C8" s="4" t="s">
        <v>1</v>
      </c>
      <c r="D8" s="19">
        <v>516</v>
      </c>
      <c r="E8" s="44"/>
      <c r="F8" s="44"/>
      <c r="G8" s="44"/>
      <c r="H8" s="44"/>
      <c r="I8" s="44"/>
      <c r="J8" s="44"/>
      <c r="K8" s="44"/>
      <c r="L8" s="44"/>
      <c r="M8" s="44"/>
      <c r="N8" s="44"/>
    </row>
    <row r="9" spans="1:16" ht="15.75" x14ac:dyDescent="0.25">
      <c r="B9" s="43">
        <v>2</v>
      </c>
      <c r="C9" s="5" t="s">
        <v>30</v>
      </c>
      <c r="D9" s="19">
        <v>613</v>
      </c>
    </row>
    <row r="10" spans="1:16" ht="15.75" x14ac:dyDescent="0.25">
      <c r="B10" s="43">
        <v>3</v>
      </c>
      <c r="C10" s="5" t="s">
        <v>2</v>
      </c>
      <c r="D10" s="19">
        <v>154</v>
      </c>
    </row>
    <row r="11" spans="1:16" ht="31.5" x14ac:dyDescent="0.25">
      <c r="B11" s="43">
        <v>4</v>
      </c>
      <c r="C11" s="4" t="s">
        <v>3</v>
      </c>
      <c r="D11" s="19">
        <v>16</v>
      </c>
    </row>
    <row r="12" spans="1:16" ht="15.75" x14ac:dyDescent="0.25">
      <c r="B12" s="43">
        <v>5</v>
      </c>
      <c r="C12" s="4" t="s">
        <v>4</v>
      </c>
      <c r="D12" s="19">
        <v>49</v>
      </c>
    </row>
    <row r="13" spans="1:16" ht="15.75" x14ac:dyDescent="0.25">
      <c r="B13" s="43">
        <v>6</v>
      </c>
      <c r="C13" s="4" t="s">
        <v>37</v>
      </c>
      <c r="D13" s="6">
        <v>0</v>
      </c>
    </row>
    <row r="14" spans="1:16" ht="15.75" x14ac:dyDescent="0.25">
      <c r="B14" s="43">
        <v>7</v>
      </c>
      <c r="C14" s="4" t="s">
        <v>38</v>
      </c>
      <c r="D14" s="19">
        <v>1</v>
      </c>
    </row>
    <row r="15" spans="1:16" ht="15.75" x14ac:dyDescent="0.25">
      <c r="B15" s="66" t="s">
        <v>23</v>
      </c>
      <c r="C15" s="66"/>
      <c r="D15" s="26">
        <f>SUM(D8+D10+D9+D13+D11+D12)</f>
        <v>1348</v>
      </c>
    </row>
    <row r="17" spans="2:7" ht="15.75" x14ac:dyDescent="0.25">
      <c r="B17" s="71" t="s">
        <v>34</v>
      </c>
      <c r="C17" s="72"/>
      <c r="D17" s="23">
        <v>1348</v>
      </c>
      <c r="G17" s="22" t="s">
        <v>46</v>
      </c>
    </row>
    <row r="18" spans="2:7" ht="15.75" x14ac:dyDescent="0.25">
      <c r="B18" s="71" t="s">
        <v>35</v>
      </c>
      <c r="C18" s="72"/>
      <c r="D18" s="23">
        <v>16</v>
      </c>
    </row>
    <row r="19" spans="2:7" ht="15.75" x14ac:dyDescent="0.25">
      <c r="B19" s="71" t="s">
        <v>39</v>
      </c>
      <c r="C19" s="72"/>
      <c r="D19" s="23">
        <v>49</v>
      </c>
    </row>
    <row r="20" spans="2:7" ht="15.75" x14ac:dyDescent="0.25">
      <c r="B20" s="71" t="s">
        <v>37</v>
      </c>
      <c r="C20" s="72"/>
      <c r="D20" s="23">
        <v>0</v>
      </c>
    </row>
    <row r="21" spans="2:7" ht="15.75" x14ac:dyDescent="0.25">
      <c r="B21" s="71" t="s">
        <v>38</v>
      </c>
      <c r="C21" s="72"/>
      <c r="D21" s="23">
        <v>1</v>
      </c>
      <c r="G21" s="21" t="s">
        <v>25</v>
      </c>
    </row>
    <row r="22" spans="2:7" ht="15.75" x14ac:dyDescent="0.25">
      <c r="B22" s="71" t="s">
        <v>36</v>
      </c>
      <c r="C22" s="72"/>
      <c r="D22" s="27">
        <f>(D17)-D18</f>
        <v>1332</v>
      </c>
    </row>
    <row r="25" spans="2:7" ht="15.75" x14ac:dyDescent="0.25">
      <c r="B25" s="20" t="s">
        <v>24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42">
        <v>1</v>
      </c>
      <c r="C27" s="10" t="s">
        <v>5</v>
      </c>
      <c r="D27" s="11">
        <v>52</v>
      </c>
    </row>
    <row r="28" spans="2:7" ht="31.5" x14ac:dyDescent="0.25">
      <c r="B28" s="43">
        <v>2</v>
      </c>
      <c r="C28" s="12" t="s">
        <v>31</v>
      </c>
      <c r="D28" s="11">
        <v>1041</v>
      </c>
    </row>
    <row r="29" spans="2:7" ht="15.75" x14ac:dyDescent="0.25">
      <c r="B29" s="42">
        <v>3</v>
      </c>
      <c r="C29" s="13" t="s">
        <v>6</v>
      </c>
      <c r="D29" s="14">
        <v>1</v>
      </c>
    </row>
    <row r="30" spans="2:7" ht="15.75" x14ac:dyDescent="0.25">
      <c r="B30" s="42">
        <v>4</v>
      </c>
      <c r="C30" s="10" t="s">
        <v>7</v>
      </c>
      <c r="D30" s="14">
        <v>35</v>
      </c>
    </row>
    <row r="31" spans="2:7" ht="15.75" x14ac:dyDescent="0.25">
      <c r="B31" s="74" t="s">
        <v>23</v>
      </c>
      <c r="C31" s="75"/>
      <c r="D31" s="43">
        <f>SUM(D27:D30)</f>
        <v>1129</v>
      </c>
    </row>
    <row r="35" spans="2:13" x14ac:dyDescent="0.25">
      <c r="G35" s="76" t="s">
        <v>47</v>
      </c>
      <c r="H35" s="76"/>
      <c r="I35" s="76"/>
      <c r="J35" s="76"/>
      <c r="K35" s="76"/>
      <c r="L35" s="76"/>
      <c r="M35" s="76"/>
    </row>
    <row r="36" spans="2:13" x14ac:dyDescent="0.25">
      <c r="G36" s="76"/>
      <c r="H36" s="76"/>
      <c r="I36" s="76"/>
      <c r="J36" s="76"/>
      <c r="K36" s="76"/>
      <c r="L36" s="76"/>
      <c r="M36" s="76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3" t="s">
        <v>19</v>
      </c>
      <c r="C41" s="73"/>
      <c r="D41" s="73"/>
    </row>
    <row r="42" spans="2:13" ht="15.75" x14ac:dyDescent="0.25">
      <c r="B42" s="42">
        <v>1</v>
      </c>
      <c r="C42" s="10" t="s">
        <v>10</v>
      </c>
      <c r="D42" s="11">
        <v>40</v>
      </c>
    </row>
    <row r="43" spans="2:13" ht="15.75" x14ac:dyDescent="0.25">
      <c r="B43" s="42">
        <v>2</v>
      </c>
      <c r="C43" s="10" t="s">
        <v>11</v>
      </c>
      <c r="D43" s="11">
        <v>1259</v>
      </c>
    </row>
    <row r="44" spans="2:13" ht="15.75" x14ac:dyDescent="0.25">
      <c r="B44" s="42">
        <v>3</v>
      </c>
      <c r="C44" s="10" t="s">
        <v>33</v>
      </c>
      <c r="D44" s="11">
        <v>0</v>
      </c>
    </row>
    <row r="45" spans="2:13" ht="15.75" x14ac:dyDescent="0.25">
      <c r="B45" s="42">
        <v>4</v>
      </c>
      <c r="C45" s="10" t="s">
        <v>32</v>
      </c>
      <c r="D45" s="11">
        <v>49</v>
      </c>
    </row>
    <row r="46" spans="2:13" ht="15.75" x14ac:dyDescent="0.25">
      <c r="B46" s="42">
        <v>5</v>
      </c>
      <c r="C46" s="10" t="s">
        <v>12</v>
      </c>
      <c r="D46" s="11">
        <v>0</v>
      </c>
    </row>
    <row r="47" spans="2:13" ht="15.75" x14ac:dyDescent="0.25">
      <c r="B47" s="66" t="s">
        <v>23</v>
      </c>
      <c r="C47" s="66"/>
      <c r="D47" s="7">
        <f>SUM(D42:D46)</f>
        <v>1348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14</v>
      </c>
      <c r="D57" s="19">
        <v>2</v>
      </c>
    </row>
    <row r="58" spans="2:7" ht="31.5" x14ac:dyDescent="0.25">
      <c r="B58" s="17">
        <v>2</v>
      </c>
      <c r="C58" s="18" t="s">
        <v>15</v>
      </c>
      <c r="D58" s="19">
        <v>1129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553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7" t="s">
        <v>23</v>
      </c>
      <c r="C62" s="78"/>
      <c r="D62" s="42">
        <f>SUM(D57:D61)</f>
        <v>1684</v>
      </c>
      <c r="G62" s="22" t="s">
        <v>22</v>
      </c>
    </row>
    <row r="66" spans="7:13" x14ac:dyDescent="0.25">
      <c r="G66" s="76" t="s">
        <v>48</v>
      </c>
      <c r="H66" s="76"/>
      <c r="I66" s="76"/>
      <c r="J66" s="76"/>
      <c r="K66" s="76"/>
      <c r="L66" s="76"/>
      <c r="M66" s="76"/>
    </row>
    <row r="67" spans="7:13" ht="33" customHeight="1" x14ac:dyDescent="0.25">
      <c r="G67" s="76"/>
      <c r="H67" s="76"/>
      <c r="I67" s="76"/>
      <c r="J67" s="76"/>
      <c r="K67" s="76"/>
      <c r="L67" s="76"/>
      <c r="M67" s="76"/>
    </row>
  </sheetData>
  <mergeCells count="19">
    <mergeCell ref="G66:M67"/>
    <mergeCell ref="B62:C62"/>
    <mergeCell ref="B56:D56"/>
    <mergeCell ref="B7:D7"/>
    <mergeCell ref="B15:C15"/>
    <mergeCell ref="B31:C31"/>
    <mergeCell ref="B47:C47"/>
    <mergeCell ref="B41:D41"/>
    <mergeCell ref="G35:M36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7"/>
  <sheetViews>
    <sheetView workbookViewId="0">
      <selection activeCell="B4" sqref="B4:N4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7" t="s">
        <v>58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29"/>
      <c r="P1" s="1"/>
    </row>
    <row r="2" spans="1:16" ht="23.25" x14ac:dyDescent="0.35">
      <c r="A2" s="28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28"/>
    </row>
    <row r="4" spans="1:16" ht="23.25" x14ac:dyDescent="0.35">
      <c r="B4" s="70" t="s">
        <v>57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6" ht="23.25" x14ac:dyDescent="0.35">
      <c r="B5" s="46"/>
      <c r="C5" s="46"/>
      <c r="D5" s="46"/>
      <c r="E5" s="46"/>
      <c r="F5" s="46"/>
      <c r="G5" s="21" t="s">
        <v>21</v>
      </c>
      <c r="H5" s="46"/>
      <c r="I5" s="46"/>
      <c r="J5" s="46"/>
      <c r="K5" s="46"/>
      <c r="L5" s="46"/>
      <c r="M5" s="46"/>
      <c r="N5" s="46"/>
    </row>
    <row r="6" spans="1:16" ht="23.25" x14ac:dyDescent="0.35">
      <c r="B6" s="20" t="s">
        <v>20</v>
      </c>
      <c r="E6" s="46"/>
      <c r="F6" s="46"/>
      <c r="G6" s="46"/>
      <c r="H6" s="46"/>
      <c r="I6" s="46"/>
      <c r="J6" s="46"/>
      <c r="K6" s="46"/>
      <c r="L6" s="46"/>
      <c r="M6" s="46"/>
      <c r="N6" s="46"/>
    </row>
    <row r="7" spans="1:16" ht="23.25" x14ac:dyDescent="0.35">
      <c r="B7" s="73" t="s">
        <v>8</v>
      </c>
      <c r="C7" s="73"/>
      <c r="D7" s="73"/>
      <c r="E7" s="46"/>
      <c r="F7" s="46"/>
      <c r="G7" s="46"/>
      <c r="H7" s="46"/>
      <c r="I7" s="46"/>
      <c r="J7" s="46"/>
      <c r="K7" s="46"/>
      <c r="L7" s="46"/>
      <c r="M7" s="46"/>
      <c r="N7" s="46"/>
    </row>
    <row r="8" spans="1:16" ht="23.25" x14ac:dyDescent="0.35">
      <c r="B8" s="47">
        <v>1</v>
      </c>
      <c r="C8" s="4" t="s">
        <v>1</v>
      </c>
      <c r="D8" s="19">
        <v>396</v>
      </c>
      <c r="E8" s="46"/>
      <c r="F8" s="46"/>
      <c r="G8" s="46"/>
      <c r="H8" s="46"/>
      <c r="I8" s="46"/>
      <c r="J8" s="46"/>
      <c r="K8" s="46"/>
      <c r="L8" s="46"/>
      <c r="M8" s="46"/>
      <c r="N8" s="46"/>
    </row>
    <row r="9" spans="1:16" ht="15.75" x14ac:dyDescent="0.25">
      <c r="B9" s="47">
        <v>2</v>
      </c>
      <c r="C9" s="5" t="s">
        <v>30</v>
      </c>
      <c r="D9" s="19">
        <v>438</v>
      </c>
    </row>
    <row r="10" spans="1:16" ht="15.75" x14ac:dyDescent="0.25">
      <c r="B10" s="47">
        <v>3</v>
      </c>
      <c r="C10" s="5" t="s">
        <v>2</v>
      </c>
      <c r="D10" s="19">
        <v>128</v>
      </c>
    </row>
    <row r="11" spans="1:16" ht="31.5" x14ac:dyDescent="0.25">
      <c r="B11" s="47">
        <v>4</v>
      </c>
      <c r="C11" s="4" t="s">
        <v>3</v>
      </c>
      <c r="D11" s="19">
        <v>12</v>
      </c>
    </row>
    <row r="12" spans="1:16" ht="15.75" x14ac:dyDescent="0.25">
      <c r="B12" s="47">
        <v>5</v>
      </c>
      <c r="C12" s="4" t="s">
        <v>4</v>
      </c>
      <c r="D12" s="19">
        <v>21</v>
      </c>
    </row>
    <row r="13" spans="1:16" ht="15.75" x14ac:dyDescent="0.25">
      <c r="B13" s="47">
        <v>6</v>
      </c>
      <c r="C13" s="4" t="s">
        <v>37</v>
      </c>
      <c r="D13" s="6">
        <v>0</v>
      </c>
    </row>
    <row r="14" spans="1:16" ht="15.75" x14ac:dyDescent="0.25">
      <c r="B14" s="47">
        <v>7</v>
      </c>
      <c r="C14" s="4" t="s">
        <v>38</v>
      </c>
      <c r="D14" s="19">
        <v>0</v>
      </c>
    </row>
    <row r="15" spans="1:16" ht="15.75" x14ac:dyDescent="0.25">
      <c r="B15" s="66" t="s">
        <v>23</v>
      </c>
      <c r="C15" s="66"/>
      <c r="D15" s="26">
        <f>SUM(D8+D10+D9+D13+D12+D11)</f>
        <v>995</v>
      </c>
    </row>
    <row r="17" spans="2:7" ht="15.75" x14ac:dyDescent="0.25">
      <c r="B17" s="71" t="s">
        <v>34</v>
      </c>
      <c r="C17" s="72"/>
      <c r="D17" s="23">
        <v>995</v>
      </c>
      <c r="G17" s="22" t="s">
        <v>46</v>
      </c>
    </row>
    <row r="18" spans="2:7" ht="15.75" x14ac:dyDescent="0.25">
      <c r="B18" s="71" t="s">
        <v>35</v>
      </c>
      <c r="C18" s="72"/>
      <c r="D18" s="23">
        <v>12</v>
      </c>
    </row>
    <row r="19" spans="2:7" ht="15.75" x14ac:dyDescent="0.25">
      <c r="B19" s="71" t="s">
        <v>39</v>
      </c>
      <c r="C19" s="72"/>
      <c r="D19" s="23">
        <v>21</v>
      </c>
    </row>
    <row r="20" spans="2:7" ht="15.75" x14ac:dyDescent="0.25">
      <c r="B20" s="71" t="s">
        <v>37</v>
      </c>
      <c r="C20" s="72"/>
      <c r="D20" s="23">
        <v>0</v>
      </c>
    </row>
    <row r="21" spans="2:7" ht="15.75" x14ac:dyDescent="0.25">
      <c r="B21" s="71" t="s">
        <v>38</v>
      </c>
      <c r="C21" s="72"/>
      <c r="D21" s="23">
        <v>0</v>
      </c>
      <c r="G21" s="21" t="s">
        <v>25</v>
      </c>
    </row>
    <row r="22" spans="2:7" ht="15.75" x14ac:dyDescent="0.25">
      <c r="B22" s="71" t="s">
        <v>36</v>
      </c>
      <c r="C22" s="72"/>
      <c r="D22" s="27">
        <f>(D17)-D18</f>
        <v>983</v>
      </c>
    </row>
    <row r="25" spans="2:7" ht="15.75" x14ac:dyDescent="0.25">
      <c r="B25" s="20" t="s">
        <v>24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45">
        <v>1</v>
      </c>
      <c r="C27" s="10" t="s">
        <v>5</v>
      </c>
      <c r="D27" s="11">
        <v>38</v>
      </c>
    </row>
    <row r="28" spans="2:7" ht="31.5" x14ac:dyDescent="0.25">
      <c r="B28" s="47">
        <v>2</v>
      </c>
      <c r="C28" s="12" t="s">
        <v>31</v>
      </c>
      <c r="D28" s="11">
        <v>759</v>
      </c>
    </row>
    <row r="29" spans="2:7" ht="15.75" x14ac:dyDescent="0.25">
      <c r="B29" s="45">
        <v>3</v>
      </c>
      <c r="C29" s="13" t="s">
        <v>6</v>
      </c>
      <c r="D29" s="14">
        <v>0</v>
      </c>
    </row>
    <row r="30" spans="2:7" ht="15.75" x14ac:dyDescent="0.25">
      <c r="B30" s="45">
        <v>4</v>
      </c>
      <c r="C30" s="10" t="s">
        <v>7</v>
      </c>
      <c r="D30" s="14">
        <v>37</v>
      </c>
    </row>
    <row r="31" spans="2:7" ht="15.75" x14ac:dyDescent="0.25">
      <c r="B31" s="74" t="s">
        <v>23</v>
      </c>
      <c r="C31" s="75"/>
      <c r="D31" s="47">
        <f>SUM(D27:D30)</f>
        <v>834</v>
      </c>
    </row>
    <row r="35" spans="2:13" x14ac:dyDescent="0.25">
      <c r="G35" s="76" t="s">
        <v>47</v>
      </c>
      <c r="H35" s="76"/>
      <c r="I35" s="76"/>
      <c r="J35" s="76"/>
      <c r="K35" s="76"/>
      <c r="L35" s="76"/>
      <c r="M35" s="76"/>
    </row>
    <row r="36" spans="2:13" x14ac:dyDescent="0.25">
      <c r="G36" s="76"/>
      <c r="H36" s="76"/>
      <c r="I36" s="76"/>
      <c r="J36" s="76"/>
      <c r="K36" s="76"/>
      <c r="L36" s="76"/>
      <c r="M36" s="76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3" t="s">
        <v>19</v>
      </c>
      <c r="C41" s="73"/>
      <c r="D41" s="73"/>
    </row>
    <row r="42" spans="2:13" ht="15.75" x14ac:dyDescent="0.25">
      <c r="B42" s="45">
        <v>1</v>
      </c>
      <c r="C42" s="10" t="s">
        <v>10</v>
      </c>
      <c r="D42" s="11">
        <v>28</v>
      </c>
    </row>
    <row r="43" spans="2:13" ht="15.75" x14ac:dyDescent="0.25">
      <c r="B43" s="45">
        <v>2</v>
      </c>
      <c r="C43" s="10" t="s">
        <v>11</v>
      </c>
      <c r="D43" s="11">
        <v>907</v>
      </c>
    </row>
    <row r="44" spans="2:13" ht="15.75" x14ac:dyDescent="0.25">
      <c r="B44" s="45">
        <v>3</v>
      </c>
      <c r="C44" s="10" t="s">
        <v>33</v>
      </c>
      <c r="D44" s="11">
        <v>0</v>
      </c>
    </row>
    <row r="45" spans="2:13" ht="15.75" x14ac:dyDescent="0.25">
      <c r="B45" s="45">
        <v>4</v>
      </c>
      <c r="C45" s="10" t="s">
        <v>32</v>
      </c>
      <c r="D45" s="11">
        <v>60</v>
      </c>
    </row>
    <row r="46" spans="2:13" ht="15.75" x14ac:dyDescent="0.25">
      <c r="B46" s="45">
        <v>5</v>
      </c>
      <c r="C46" s="10" t="s">
        <v>12</v>
      </c>
      <c r="D46" s="11">
        <v>0</v>
      </c>
    </row>
    <row r="47" spans="2:13" ht="15.75" x14ac:dyDescent="0.25">
      <c r="B47" s="66" t="s">
        <v>23</v>
      </c>
      <c r="C47" s="66"/>
      <c r="D47" s="7">
        <f>SUM(D42:D46)</f>
        <v>995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14</v>
      </c>
      <c r="D57" s="19">
        <v>1</v>
      </c>
    </row>
    <row r="58" spans="2:7" ht="31.5" x14ac:dyDescent="0.25">
      <c r="B58" s="17">
        <v>2</v>
      </c>
      <c r="C58" s="18" t="s">
        <v>15</v>
      </c>
      <c r="D58" s="19">
        <v>832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327</v>
      </c>
    </row>
    <row r="60" spans="2:7" ht="31.5" x14ac:dyDescent="0.25">
      <c r="B60" s="17">
        <v>4</v>
      </c>
      <c r="C60" s="18" t="s">
        <v>17</v>
      </c>
      <c r="D60" s="19">
        <v>1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77" t="s">
        <v>23</v>
      </c>
      <c r="C62" s="78"/>
      <c r="D62" s="45">
        <f>SUM(D57:D61)</f>
        <v>1161</v>
      </c>
      <c r="G62" s="22" t="s">
        <v>22</v>
      </c>
    </row>
    <row r="66" spans="7:13" x14ac:dyDescent="0.25">
      <c r="G66" s="76" t="s">
        <v>48</v>
      </c>
      <c r="H66" s="76"/>
      <c r="I66" s="76"/>
      <c r="J66" s="76"/>
      <c r="K66" s="76"/>
      <c r="L66" s="76"/>
      <c r="M66" s="76"/>
    </row>
    <row r="67" spans="7:13" ht="33" customHeight="1" x14ac:dyDescent="0.25">
      <c r="G67" s="76"/>
      <c r="H67" s="76"/>
      <c r="I67" s="76"/>
      <c r="J67" s="76"/>
      <c r="K67" s="76"/>
      <c r="L67" s="76"/>
      <c r="M67" s="76"/>
    </row>
  </sheetData>
  <mergeCells count="19">
    <mergeCell ref="B1:N1"/>
    <mergeCell ref="B2:N2"/>
    <mergeCell ref="B4:N4"/>
    <mergeCell ref="B22:C22"/>
    <mergeCell ref="B21:C21"/>
    <mergeCell ref="B18:C18"/>
    <mergeCell ref="B17:C17"/>
    <mergeCell ref="B19:C19"/>
    <mergeCell ref="B20:C20"/>
    <mergeCell ref="G66:M67"/>
    <mergeCell ref="B62:C62"/>
    <mergeCell ref="B56:D56"/>
    <mergeCell ref="B7:D7"/>
    <mergeCell ref="B15:C15"/>
    <mergeCell ref="B31:C31"/>
    <mergeCell ref="B47:C47"/>
    <mergeCell ref="B41:D41"/>
    <mergeCell ref="G35:M36"/>
    <mergeCell ref="B26:D26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workbookViewId="0">
      <selection activeCell="P62" sqref="P62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7" t="s">
        <v>60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29"/>
      <c r="P1" s="1"/>
    </row>
    <row r="2" spans="1:16" ht="23.25" x14ac:dyDescent="0.35">
      <c r="A2" s="28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28"/>
    </row>
    <row r="4" spans="1:16" ht="23.25" x14ac:dyDescent="0.35">
      <c r="B4" s="70" t="s">
        <v>59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6" ht="23.25" x14ac:dyDescent="0.35">
      <c r="B5" s="50"/>
      <c r="C5" s="50"/>
      <c r="D5" s="50"/>
      <c r="E5" s="50"/>
      <c r="F5" s="50"/>
      <c r="G5" s="21" t="s">
        <v>21</v>
      </c>
      <c r="H5" s="50"/>
      <c r="I5" s="50"/>
      <c r="J5" s="50"/>
      <c r="K5" s="50"/>
      <c r="L5" s="50"/>
      <c r="M5" s="50"/>
      <c r="N5" s="50"/>
    </row>
    <row r="6" spans="1:16" ht="23.25" x14ac:dyDescent="0.35">
      <c r="B6" s="20" t="s">
        <v>20</v>
      </c>
      <c r="E6" s="50"/>
      <c r="F6" s="50"/>
      <c r="G6" s="50"/>
      <c r="H6" s="50"/>
      <c r="I6" s="50"/>
      <c r="J6" s="50"/>
      <c r="K6" s="50"/>
      <c r="L6" s="50"/>
      <c r="M6" s="50"/>
      <c r="N6" s="50"/>
    </row>
    <row r="7" spans="1:16" ht="23.25" x14ac:dyDescent="0.35">
      <c r="B7" s="73" t="s">
        <v>8</v>
      </c>
      <c r="C7" s="73"/>
      <c r="D7" s="73"/>
      <c r="E7" s="50"/>
      <c r="F7" s="50"/>
      <c r="G7" s="50"/>
      <c r="H7" s="50"/>
      <c r="I7" s="50"/>
      <c r="J7" s="50"/>
      <c r="K7" s="50"/>
      <c r="L7" s="50"/>
      <c r="M7" s="50"/>
      <c r="N7" s="50"/>
    </row>
    <row r="8" spans="1:16" ht="23.25" x14ac:dyDescent="0.35">
      <c r="B8" s="49">
        <v>1</v>
      </c>
      <c r="C8" s="4" t="s">
        <v>1</v>
      </c>
      <c r="D8" s="19">
        <v>479</v>
      </c>
      <c r="E8" s="50"/>
      <c r="F8" s="50"/>
      <c r="G8" s="50"/>
      <c r="H8" s="50"/>
      <c r="I8" s="50"/>
      <c r="J8" s="50"/>
      <c r="K8" s="50"/>
      <c r="L8" s="50"/>
      <c r="M8" s="50"/>
      <c r="N8" s="50"/>
    </row>
    <row r="9" spans="1:16" ht="15.75" x14ac:dyDescent="0.25">
      <c r="B9" s="49">
        <v>2</v>
      </c>
      <c r="C9" s="5" t="s">
        <v>30</v>
      </c>
      <c r="D9" s="19">
        <v>465</v>
      </c>
    </row>
    <row r="10" spans="1:16" ht="15.75" x14ac:dyDescent="0.25">
      <c r="B10" s="49">
        <v>3</v>
      </c>
      <c r="C10" s="5" t="s">
        <v>2</v>
      </c>
      <c r="D10" s="19">
        <v>144</v>
      </c>
    </row>
    <row r="11" spans="1:16" ht="31.5" x14ac:dyDescent="0.25">
      <c r="B11" s="49">
        <v>4</v>
      </c>
      <c r="C11" s="4" t="s">
        <v>3</v>
      </c>
      <c r="D11" s="19">
        <v>4</v>
      </c>
    </row>
    <row r="12" spans="1:16" ht="15.75" x14ac:dyDescent="0.25">
      <c r="B12" s="49">
        <v>5</v>
      </c>
      <c r="C12" s="4" t="s">
        <v>4</v>
      </c>
      <c r="D12" s="19">
        <v>38</v>
      </c>
    </row>
    <row r="13" spans="1:16" ht="15.75" x14ac:dyDescent="0.25">
      <c r="B13" s="49">
        <v>6</v>
      </c>
      <c r="C13" s="4" t="s">
        <v>37</v>
      </c>
      <c r="D13" s="6">
        <v>0</v>
      </c>
    </row>
    <row r="14" spans="1:16" ht="15.75" x14ac:dyDescent="0.25">
      <c r="B14" s="49">
        <v>7</v>
      </c>
      <c r="C14" s="4" t="s">
        <v>38</v>
      </c>
      <c r="D14" s="19">
        <v>0</v>
      </c>
    </row>
    <row r="15" spans="1:16" ht="15.75" x14ac:dyDescent="0.25">
      <c r="B15" s="66" t="s">
        <v>23</v>
      </c>
      <c r="C15" s="66"/>
      <c r="D15" s="26">
        <f>SUM(D8+D10+D11+D9+D13+D12)</f>
        <v>1130</v>
      </c>
    </row>
    <row r="17" spans="2:7" ht="15.75" x14ac:dyDescent="0.25">
      <c r="B17" s="71" t="s">
        <v>34</v>
      </c>
      <c r="C17" s="72"/>
      <c r="D17" s="23">
        <v>1130</v>
      </c>
      <c r="G17" s="22" t="s">
        <v>46</v>
      </c>
    </row>
    <row r="18" spans="2:7" ht="15.75" x14ac:dyDescent="0.25">
      <c r="B18" s="71" t="s">
        <v>35</v>
      </c>
      <c r="C18" s="72"/>
      <c r="D18" s="23">
        <v>4</v>
      </c>
    </row>
    <row r="19" spans="2:7" ht="15.75" x14ac:dyDescent="0.25">
      <c r="B19" s="71" t="s">
        <v>39</v>
      </c>
      <c r="C19" s="72"/>
      <c r="D19" s="23">
        <v>38</v>
      </c>
    </row>
    <row r="20" spans="2:7" ht="15.75" x14ac:dyDescent="0.25">
      <c r="B20" s="71" t="s">
        <v>37</v>
      </c>
      <c r="C20" s="72"/>
      <c r="D20" s="23">
        <v>0</v>
      </c>
    </row>
    <row r="21" spans="2:7" ht="15.75" x14ac:dyDescent="0.25">
      <c r="B21" s="71" t="s">
        <v>38</v>
      </c>
      <c r="C21" s="72"/>
      <c r="D21" s="23">
        <v>0</v>
      </c>
      <c r="G21" s="21" t="s">
        <v>25</v>
      </c>
    </row>
    <row r="22" spans="2:7" ht="15.75" x14ac:dyDescent="0.25">
      <c r="B22" s="71" t="s">
        <v>36</v>
      </c>
      <c r="C22" s="72"/>
      <c r="D22" s="27">
        <f>(D17)-D18</f>
        <v>1126</v>
      </c>
    </row>
    <row r="25" spans="2:7" ht="15.75" x14ac:dyDescent="0.25">
      <c r="B25" s="20" t="s">
        <v>24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48">
        <v>1</v>
      </c>
      <c r="C27" s="10" t="s">
        <v>5</v>
      </c>
      <c r="D27" s="11">
        <v>19</v>
      </c>
    </row>
    <row r="28" spans="2:7" ht="31.5" x14ac:dyDescent="0.25">
      <c r="B28" s="49">
        <v>2</v>
      </c>
      <c r="C28" s="12" t="s">
        <v>31</v>
      </c>
      <c r="D28" s="11">
        <v>879</v>
      </c>
    </row>
    <row r="29" spans="2:7" ht="15.75" x14ac:dyDescent="0.25">
      <c r="B29" s="48">
        <v>3</v>
      </c>
      <c r="C29" s="13" t="s">
        <v>6</v>
      </c>
      <c r="D29" s="14">
        <v>0</v>
      </c>
    </row>
    <row r="30" spans="2:7" ht="15.75" x14ac:dyDescent="0.25">
      <c r="B30" s="48">
        <v>4</v>
      </c>
      <c r="C30" s="10" t="s">
        <v>7</v>
      </c>
      <c r="D30" s="14">
        <v>46</v>
      </c>
    </row>
    <row r="31" spans="2:7" ht="15.75" x14ac:dyDescent="0.25">
      <c r="B31" s="74" t="s">
        <v>23</v>
      </c>
      <c r="C31" s="75"/>
      <c r="D31" s="49">
        <f>SUM(D27:D30)</f>
        <v>944</v>
      </c>
    </row>
    <row r="35" spans="2:13" x14ac:dyDescent="0.25">
      <c r="G35" s="76" t="s">
        <v>47</v>
      </c>
      <c r="H35" s="76"/>
      <c r="I35" s="76"/>
      <c r="J35" s="76"/>
      <c r="K35" s="76"/>
      <c r="L35" s="76"/>
      <c r="M35" s="76"/>
    </row>
    <row r="36" spans="2:13" x14ac:dyDescent="0.25">
      <c r="G36" s="76"/>
      <c r="H36" s="76"/>
      <c r="I36" s="76"/>
      <c r="J36" s="76"/>
      <c r="K36" s="76"/>
      <c r="L36" s="76"/>
      <c r="M36" s="76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3" t="s">
        <v>19</v>
      </c>
      <c r="C41" s="73"/>
      <c r="D41" s="73"/>
    </row>
    <row r="42" spans="2:13" ht="15.75" x14ac:dyDescent="0.25">
      <c r="B42" s="48">
        <v>1</v>
      </c>
      <c r="C42" s="10" t="s">
        <v>10</v>
      </c>
      <c r="D42" s="11">
        <v>35</v>
      </c>
    </row>
    <row r="43" spans="2:13" ht="15.75" x14ac:dyDescent="0.25">
      <c r="B43" s="48">
        <v>2</v>
      </c>
      <c r="C43" s="10" t="s">
        <v>11</v>
      </c>
      <c r="D43" s="11">
        <v>1036</v>
      </c>
    </row>
    <row r="44" spans="2:13" ht="15.75" x14ac:dyDescent="0.25">
      <c r="B44" s="48">
        <v>3</v>
      </c>
      <c r="C44" s="10" t="s">
        <v>33</v>
      </c>
      <c r="D44" s="11">
        <v>0</v>
      </c>
    </row>
    <row r="45" spans="2:13" ht="15.75" x14ac:dyDescent="0.25">
      <c r="B45" s="48">
        <v>4</v>
      </c>
      <c r="C45" s="10" t="s">
        <v>32</v>
      </c>
      <c r="D45" s="11">
        <v>59</v>
      </c>
    </row>
    <row r="46" spans="2:13" ht="15.75" x14ac:dyDescent="0.25">
      <c r="B46" s="48">
        <v>5</v>
      </c>
      <c r="C46" s="10" t="s">
        <v>12</v>
      </c>
      <c r="D46" s="11">
        <v>0</v>
      </c>
    </row>
    <row r="47" spans="2:13" ht="15.75" x14ac:dyDescent="0.25">
      <c r="B47" s="66" t="s">
        <v>23</v>
      </c>
      <c r="C47" s="66"/>
      <c r="D47" s="7">
        <f>SUM(D42:D46)</f>
        <v>1130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14</v>
      </c>
      <c r="D57" s="19">
        <v>1</v>
      </c>
    </row>
    <row r="58" spans="2:7" ht="31.5" x14ac:dyDescent="0.25">
      <c r="B58" s="17">
        <v>2</v>
      </c>
      <c r="C58" s="18" t="s">
        <v>15</v>
      </c>
      <c r="D58" s="19">
        <v>943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426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56"/>
      <c r="C62" s="55"/>
      <c r="D62" s="54"/>
    </row>
    <row r="63" spans="2:7" ht="15.75" x14ac:dyDescent="0.25">
      <c r="B63" s="56"/>
      <c r="C63" s="55"/>
      <c r="D63" s="54"/>
    </row>
    <row r="64" spans="2:7" x14ac:dyDescent="0.25">
      <c r="G64" s="22" t="s">
        <v>22</v>
      </c>
    </row>
    <row r="68" spans="7:13" x14ac:dyDescent="0.25">
      <c r="G68" s="76" t="s">
        <v>48</v>
      </c>
      <c r="H68" s="76"/>
      <c r="I68" s="76"/>
      <c r="J68" s="76"/>
      <c r="K68" s="76"/>
      <c r="L68" s="76"/>
      <c r="M68" s="76"/>
    </row>
    <row r="69" spans="7:13" ht="33" customHeight="1" x14ac:dyDescent="0.25">
      <c r="G69" s="76"/>
      <c r="H69" s="76"/>
      <c r="I69" s="76"/>
      <c r="J69" s="76"/>
      <c r="K69" s="76"/>
      <c r="L69" s="76"/>
      <c r="M69" s="76"/>
    </row>
  </sheetData>
  <mergeCells count="18">
    <mergeCell ref="G68:M69"/>
    <mergeCell ref="B56:D56"/>
    <mergeCell ref="B7:D7"/>
    <mergeCell ref="B15:C15"/>
    <mergeCell ref="B31:C31"/>
    <mergeCell ref="B47:C47"/>
    <mergeCell ref="B41:D41"/>
    <mergeCell ref="G35:M36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workbookViewId="0">
      <selection activeCell="B4" sqref="B4:N4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7" t="s">
        <v>62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29"/>
      <c r="P1" s="1"/>
    </row>
    <row r="2" spans="1:16" ht="23.25" x14ac:dyDescent="0.35">
      <c r="A2" s="28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28"/>
    </row>
    <row r="4" spans="1:16" ht="23.25" x14ac:dyDescent="0.35">
      <c r="B4" s="70" t="s">
        <v>61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6" ht="23.25" x14ac:dyDescent="0.35">
      <c r="B5" s="52"/>
      <c r="C5" s="52"/>
      <c r="D5" s="52"/>
      <c r="E5" s="52"/>
      <c r="F5" s="52"/>
      <c r="G5" s="21" t="s">
        <v>21</v>
      </c>
      <c r="H5" s="52"/>
      <c r="I5" s="52"/>
      <c r="J5" s="52"/>
      <c r="K5" s="52"/>
      <c r="L5" s="52"/>
      <c r="M5" s="52"/>
      <c r="N5" s="52"/>
    </row>
    <row r="6" spans="1:16" ht="23.25" x14ac:dyDescent="0.35">
      <c r="B6" s="20" t="s">
        <v>20</v>
      </c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1:16" ht="23.25" x14ac:dyDescent="0.35">
      <c r="B7" s="73" t="s">
        <v>8</v>
      </c>
      <c r="C7" s="73"/>
      <c r="D7" s="73"/>
      <c r="E7" s="52"/>
      <c r="F7" s="52"/>
      <c r="G7" s="52"/>
      <c r="H7" s="52"/>
      <c r="I7" s="52"/>
      <c r="J7" s="52"/>
      <c r="K7" s="52"/>
      <c r="L7" s="52"/>
      <c r="M7" s="52"/>
      <c r="N7" s="52"/>
    </row>
    <row r="8" spans="1:16" ht="23.25" x14ac:dyDescent="0.35">
      <c r="B8" s="53">
        <v>1</v>
      </c>
      <c r="C8" s="4" t="s">
        <v>1</v>
      </c>
      <c r="D8" s="19">
        <v>406</v>
      </c>
      <c r="E8" s="52"/>
      <c r="F8" s="52"/>
      <c r="G8" s="52"/>
      <c r="H8" s="52"/>
      <c r="I8" s="52"/>
      <c r="J8" s="52"/>
      <c r="K8" s="52"/>
      <c r="L8" s="52"/>
      <c r="M8" s="52"/>
      <c r="N8" s="52"/>
    </row>
    <row r="9" spans="1:16" ht="15.75" x14ac:dyDescent="0.25">
      <c r="B9" s="53">
        <v>2</v>
      </c>
      <c r="C9" s="5" t="s">
        <v>30</v>
      </c>
      <c r="D9" s="19">
        <v>427</v>
      </c>
    </row>
    <row r="10" spans="1:16" ht="15.75" x14ac:dyDescent="0.25">
      <c r="B10" s="53">
        <v>3</v>
      </c>
      <c r="C10" s="5" t="s">
        <v>2</v>
      </c>
      <c r="D10" s="19">
        <v>172</v>
      </c>
    </row>
    <row r="11" spans="1:16" ht="31.5" x14ac:dyDescent="0.25">
      <c r="B11" s="53">
        <v>4</v>
      </c>
      <c r="C11" s="4" t="s">
        <v>3</v>
      </c>
      <c r="D11" s="19">
        <v>16</v>
      </c>
    </row>
    <row r="12" spans="1:16" ht="15.75" x14ac:dyDescent="0.25">
      <c r="B12" s="53">
        <v>5</v>
      </c>
      <c r="C12" s="4" t="s">
        <v>4</v>
      </c>
      <c r="D12" s="19">
        <v>58</v>
      </c>
    </row>
    <row r="13" spans="1:16" ht="15.75" x14ac:dyDescent="0.25">
      <c r="B13" s="53">
        <v>6</v>
      </c>
      <c r="C13" s="4" t="s">
        <v>37</v>
      </c>
      <c r="D13" s="6">
        <v>0</v>
      </c>
    </row>
    <row r="14" spans="1:16" ht="15.75" x14ac:dyDescent="0.25">
      <c r="B14" s="53">
        <v>7</v>
      </c>
      <c r="C14" s="4" t="s">
        <v>38</v>
      </c>
      <c r="D14" s="19">
        <v>0</v>
      </c>
    </row>
    <row r="15" spans="1:16" ht="15.75" x14ac:dyDescent="0.25">
      <c r="B15" s="66" t="s">
        <v>23</v>
      </c>
      <c r="C15" s="66"/>
      <c r="D15" s="26">
        <f>SUM(D8+D10+D11+D9+D13+D12)</f>
        <v>1079</v>
      </c>
    </row>
    <row r="17" spans="2:7" ht="15.75" x14ac:dyDescent="0.25">
      <c r="B17" s="71" t="s">
        <v>34</v>
      </c>
      <c r="C17" s="72"/>
      <c r="D17" s="23">
        <v>1079</v>
      </c>
      <c r="G17" s="22" t="s">
        <v>46</v>
      </c>
    </row>
    <row r="18" spans="2:7" ht="15.75" x14ac:dyDescent="0.25">
      <c r="B18" s="71" t="s">
        <v>35</v>
      </c>
      <c r="C18" s="72"/>
      <c r="D18" s="23">
        <v>16</v>
      </c>
    </row>
    <row r="19" spans="2:7" ht="15.75" x14ac:dyDescent="0.25">
      <c r="B19" s="71" t="s">
        <v>39</v>
      </c>
      <c r="C19" s="72"/>
      <c r="D19" s="23">
        <v>58</v>
      </c>
    </row>
    <row r="20" spans="2:7" ht="15.75" x14ac:dyDescent="0.25">
      <c r="B20" s="71" t="s">
        <v>37</v>
      </c>
      <c r="C20" s="72"/>
      <c r="D20" s="23">
        <v>0</v>
      </c>
    </row>
    <row r="21" spans="2:7" ht="15.75" x14ac:dyDescent="0.25">
      <c r="B21" s="71" t="s">
        <v>38</v>
      </c>
      <c r="C21" s="72"/>
      <c r="D21" s="23">
        <v>0</v>
      </c>
      <c r="G21" s="21" t="s">
        <v>25</v>
      </c>
    </row>
    <row r="22" spans="2:7" ht="15.75" x14ac:dyDescent="0.25">
      <c r="B22" s="71" t="s">
        <v>36</v>
      </c>
      <c r="C22" s="72"/>
      <c r="D22" s="27">
        <f>(D17)-D18</f>
        <v>1063</v>
      </c>
    </row>
    <row r="25" spans="2:7" ht="15.75" x14ac:dyDescent="0.25">
      <c r="B25" s="20" t="s">
        <v>24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51">
        <v>1</v>
      </c>
      <c r="C27" s="10" t="s">
        <v>5</v>
      </c>
      <c r="D27" s="11">
        <v>46</v>
      </c>
    </row>
    <row r="28" spans="2:7" ht="31.5" x14ac:dyDescent="0.25">
      <c r="B28" s="53">
        <v>2</v>
      </c>
      <c r="C28" s="12" t="s">
        <v>31</v>
      </c>
      <c r="D28" s="11">
        <v>713</v>
      </c>
    </row>
    <row r="29" spans="2:7" ht="15.75" x14ac:dyDescent="0.25">
      <c r="B29" s="51">
        <v>3</v>
      </c>
      <c r="C29" s="13" t="s">
        <v>6</v>
      </c>
      <c r="D29" s="14">
        <v>0</v>
      </c>
    </row>
    <row r="30" spans="2:7" ht="15.75" x14ac:dyDescent="0.25">
      <c r="B30" s="51">
        <v>4</v>
      </c>
      <c r="C30" s="10" t="s">
        <v>7</v>
      </c>
      <c r="D30" s="14">
        <v>74</v>
      </c>
    </row>
    <row r="31" spans="2:7" ht="15.75" x14ac:dyDescent="0.25">
      <c r="B31" s="74" t="s">
        <v>23</v>
      </c>
      <c r="C31" s="75"/>
      <c r="D31" s="53">
        <f>SUM(D27:D30)</f>
        <v>833</v>
      </c>
    </row>
    <row r="35" spans="2:13" x14ac:dyDescent="0.25">
      <c r="G35" s="76" t="s">
        <v>47</v>
      </c>
      <c r="H35" s="76"/>
      <c r="I35" s="76"/>
      <c r="J35" s="76"/>
      <c r="K35" s="76"/>
      <c r="L35" s="76"/>
      <c r="M35" s="76"/>
    </row>
    <row r="36" spans="2:13" x14ac:dyDescent="0.25">
      <c r="G36" s="76"/>
      <c r="H36" s="76"/>
      <c r="I36" s="76"/>
      <c r="J36" s="76"/>
      <c r="K36" s="76"/>
      <c r="L36" s="76"/>
      <c r="M36" s="76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3" t="s">
        <v>19</v>
      </c>
      <c r="C41" s="73"/>
      <c r="D41" s="73"/>
    </row>
    <row r="42" spans="2:13" ht="15.75" x14ac:dyDescent="0.25">
      <c r="B42" s="51">
        <v>1</v>
      </c>
      <c r="C42" s="10" t="s">
        <v>10</v>
      </c>
      <c r="D42" s="11">
        <v>25</v>
      </c>
    </row>
    <row r="43" spans="2:13" ht="15.75" x14ac:dyDescent="0.25">
      <c r="B43" s="51">
        <v>2</v>
      </c>
      <c r="C43" s="10" t="s">
        <v>11</v>
      </c>
      <c r="D43" s="11">
        <v>991</v>
      </c>
    </row>
    <row r="44" spans="2:13" ht="15.75" x14ac:dyDescent="0.25">
      <c r="B44" s="51">
        <v>3</v>
      </c>
      <c r="C44" s="10" t="s">
        <v>33</v>
      </c>
      <c r="D44" s="11">
        <v>0</v>
      </c>
    </row>
    <row r="45" spans="2:13" ht="15.75" x14ac:dyDescent="0.25">
      <c r="B45" s="51">
        <v>4</v>
      </c>
      <c r="C45" s="10" t="s">
        <v>32</v>
      </c>
      <c r="D45" s="11">
        <v>63</v>
      </c>
    </row>
    <row r="46" spans="2:13" ht="15.75" x14ac:dyDescent="0.25">
      <c r="B46" s="51">
        <v>5</v>
      </c>
      <c r="C46" s="10" t="s">
        <v>12</v>
      </c>
      <c r="D46" s="11">
        <v>0</v>
      </c>
    </row>
    <row r="47" spans="2:13" ht="15.75" x14ac:dyDescent="0.25">
      <c r="B47" s="66" t="s">
        <v>23</v>
      </c>
      <c r="C47" s="66"/>
      <c r="D47" s="7">
        <f>SUM(D42:D46)</f>
        <v>1079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14</v>
      </c>
      <c r="D57" s="19">
        <v>3</v>
      </c>
    </row>
    <row r="58" spans="2:7" ht="31.5" x14ac:dyDescent="0.25">
      <c r="B58" s="17">
        <v>2</v>
      </c>
      <c r="C58" s="18" t="s">
        <v>15</v>
      </c>
      <c r="D58" s="19">
        <v>829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348</v>
      </c>
    </row>
    <row r="60" spans="2:7" ht="31.5" x14ac:dyDescent="0.25">
      <c r="B60" s="17">
        <v>4</v>
      </c>
      <c r="C60" s="18" t="s">
        <v>17</v>
      </c>
      <c r="D60" s="19">
        <v>1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56"/>
      <c r="C62" s="55"/>
      <c r="D62" s="54"/>
    </row>
    <row r="63" spans="2:7" ht="15.75" x14ac:dyDescent="0.25">
      <c r="B63" s="56"/>
      <c r="C63" s="55"/>
      <c r="D63" s="54"/>
    </row>
    <row r="64" spans="2:7" x14ac:dyDescent="0.25">
      <c r="G64" s="22" t="s">
        <v>22</v>
      </c>
    </row>
    <row r="68" spans="7:13" x14ac:dyDescent="0.25">
      <c r="G68" s="76" t="s">
        <v>48</v>
      </c>
      <c r="H68" s="76"/>
      <c r="I68" s="76"/>
      <c r="J68" s="76"/>
      <c r="K68" s="76"/>
      <c r="L68" s="76"/>
      <c r="M68" s="76"/>
    </row>
    <row r="69" spans="7:13" ht="33" customHeight="1" x14ac:dyDescent="0.25">
      <c r="G69" s="76"/>
      <c r="H69" s="76"/>
      <c r="I69" s="76"/>
      <c r="J69" s="76"/>
      <c r="K69" s="76"/>
      <c r="L69" s="76"/>
      <c r="M69" s="76"/>
    </row>
  </sheetData>
  <mergeCells count="18">
    <mergeCell ref="B31:C31"/>
    <mergeCell ref="B47:C47"/>
    <mergeCell ref="B41:D41"/>
    <mergeCell ref="G35:M36"/>
    <mergeCell ref="G68:M69"/>
    <mergeCell ref="B56:D56"/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workbookViewId="0">
      <selection activeCell="F6" sqref="F6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7" t="s">
        <v>64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29"/>
      <c r="P1" s="1"/>
    </row>
    <row r="2" spans="1:16" ht="23.25" x14ac:dyDescent="0.35">
      <c r="A2" s="28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28"/>
    </row>
    <row r="4" spans="1:16" ht="23.25" x14ac:dyDescent="0.35">
      <c r="B4" s="70" t="s">
        <v>63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6" ht="23.25" x14ac:dyDescent="0.35">
      <c r="B5" s="59"/>
      <c r="C5" s="59"/>
      <c r="D5" s="59"/>
      <c r="E5" s="59"/>
      <c r="F5" s="59"/>
      <c r="G5" s="21" t="s">
        <v>21</v>
      </c>
      <c r="H5" s="59"/>
      <c r="I5" s="59"/>
      <c r="J5" s="59"/>
      <c r="K5" s="59"/>
      <c r="L5" s="59"/>
      <c r="M5" s="59"/>
      <c r="N5" s="59"/>
    </row>
    <row r="6" spans="1:16" ht="23.25" x14ac:dyDescent="0.35">
      <c r="B6" s="20" t="s">
        <v>20</v>
      </c>
      <c r="E6" s="59"/>
      <c r="F6" s="59"/>
      <c r="G6" s="59"/>
      <c r="H6" s="59"/>
      <c r="I6" s="59"/>
      <c r="J6" s="59"/>
      <c r="K6" s="59"/>
      <c r="L6" s="59"/>
      <c r="M6" s="59"/>
      <c r="N6" s="59"/>
    </row>
    <row r="7" spans="1:16" ht="23.25" x14ac:dyDescent="0.35">
      <c r="B7" s="73" t="s">
        <v>8</v>
      </c>
      <c r="C7" s="73"/>
      <c r="D7" s="73"/>
      <c r="E7" s="59"/>
      <c r="F7" s="59"/>
      <c r="G7" s="59"/>
      <c r="H7" s="59"/>
      <c r="I7" s="59"/>
      <c r="J7" s="59"/>
      <c r="K7" s="59"/>
      <c r="L7" s="59"/>
      <c r="M7" s="59"/>
      <c r="N7" s="59"/>
    </row>
    <row r="8" spans="1:16" ht="23.25" x14ac:dyDescent="0.35">
      <c r="B8" s="58">
        <v>1</v>
      </c>
      <c r="C8" s="4" t="s">
        <v>1</v>
      </c>
      <c r="D8" s="19">
        <v>498</v>
      </c>
      <c r="E8" s="59"/>
      <c r="F8" s="59"/>
      <c r="G8" s="59"/>
      <c r="H8" s="59"/>
      <c r="I8" s="59"/>
      <c r="J8" s="59"/>
      <c r="K8" s="59"/>
      <c r="L8" s="59"/>
      <c r="M8" s="59"/>
      <c r="N8" s="59"/>
    </row>
    <row r="9" spans="1:16" ht="15.75" x14ac:dyDescent="0.25">
      <c r="B9" s="58">
        <v>2</v>
      </c>
      <c r="C9" s="5" t="s">
        <v>30</v>
      </c>
      <c r="D9" s="19">
        <v>448</v>
      </c>
    </row>
    <row r="10" spans="1:16" ht="15.75" x14ac:dyDescent="0.25">
      <c r="B10" s="58">
        <v>3</v>
      </c>
      <c r="C10" s="5" t="s">
        <v>2</v>
      </c>
      <c r="D10" s="19">
        <v>182</v>
      </c>
    </row>
    <row r="11" spans="1:16" ht="31.5" x14ac:dyDescent="0.25">
      <c r="B11" s="58">
        <v>4</v>
      </c>
      <c r="C11" s="4" t="s">
        <v>3</v>
      </c>
      <c r="D11" s="19">
        <v>22</v>
      </c>
    </row>
    <row r="12" spans="1:16" ht="15.75" x14ac:dyDescent="0.25">
      <c r="B12" s="58">
        <v>5</v>
      </c>
      <c r="C12" s="4" t="s">
        <v>4</v>
      </c>
      <c r="D12" s="19">
        <v>30</v>
      </c>
    </row>
    <row r="13" spans="1:16" ht="15.75" x14ac:dyDescent="0.25">
      <c r="B13" s="58">
        <v>6</v>
      </c>
      <c r="C13" s="4" t="s">
        <v>37</v>
      </c>
      <c r="D13" s="6">
        <v>0</v>
      </c>
    </row>
    <row r="14" spans="1:16" ht="15.75" x14ac:dyDescent="0.25">
      <c r="B14" s="58">
        <v>7</v>
      </c>
      <c r="C14" s="4" t="s">
        <v>38</v>
      </c>
      <c r="D14" s="19">
        <v>0</v>
      </c>
    </row>
    <row r="15" spans="1:16" ht="15.75" x14ac:dyDescent="0.25">
      <c r="B15" s="66" t="s">
        <v>23</v>
      </c>
      <c r="C15" s="66"/>
      <c r="D15" s="26">
        <f>SUM(D8+D10+D11+D9+D13+D12)</f>
        <v>1180</v>
      </c>
    </row>
    <row r="17" spans="2:7" ht="15.75" x14ac:dyDescent="0.25">
      <c r="B17" s="71" t="s">
        <v>34</v>
      </c>
      <c r="C17" s="72"/>
      <c r="D17" s="23">
        <v>1180</v>
      </c>
      <c r="G17" s="22" t="s">
        <v>46</v>
      </c>
    </row>
    <row r="18" spans="2:7" ht="15.75" x14ac:dyDescent="0.25">
      <c r="B18" s="71" t="s">
        <v>35</v>
      </c>
      <c r="C18" s="72"/>
      <c r="D18" s="23">
        <v>22</v>
      </c>
    </row>
    <row r="19" spans="2:7" ht="15.75" x14ac:dyDescent="0.25">
      <c r="B19" s="71" t="s">
        <v>39</v>
      </c>
      <c r="C19" s="72"/>
      <c r="D19" s="23">
        <v>30</v>
      </c>
    </row>
    <row r="20" spans="2:7" ht="15.75" x14ac:dyDescent="0.25">
      <c r="B20" s="71" t="s">
        <v>37</v>
      </c>
      <c r="C20" s="72"/>
      <c r="D20" s="23">
        <v>0</v>
      </c>
    </row>
    <row r="21" spans="2:7" ht="15.75" x14ac:dyDescent="0.25">
      <c r="B21" s="71" t="s">
        <v>38</v>
      </c>
      <c r="C21" s="72"/>
      <c r="D21" s="23">
        <v>0</v>
      </c>
      <c r="G21" s="21" t="s">
        <v>25</v>
      </c>
    </row>
    <row r="22" spans="2:7" ht="15.75" x14ac:dyDescent="0.25">
      <c r="B22" s="71" t="s">
        <v>36</v>
      </c>
      <c r="C22" s="72"/>
      <c r="D22" s="27">
        <f>(D17)-D18</f>
        <v>1158</v>
      </c>
    </row>
    <row r="25" spans="2:7" ht="15.75" x14ac:dyDescent="0.25">
      <c r="B25" s="20" t="s">
        <v>24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57">
        <v>1</v>
      </c>
      <c r="C27" s="10" t="s">
        <v>5</v>
      </c>
      <c r="D27" s="11">
        <v>39</v>
      </c>
    </row>
    <row r="28" spans="2:7" ht="31.5" x14ac:dyDescent="0.25">
      <c r="B28" s="58">
        <v>2</v>
      </c>
      <c r="C28" s="12" t="s">
        <v>31</v>
      </c>
      <c r="D28" s="11">
        <v>871</v>
      </c>
    </row>
    <row r="29" spans="2:7" ht="15.75" x14ac:dyDescent="0.25">
      <c r="B29" s="57">
        <v>3</v>
      </c>
      <c r="C29" s="13" t="s">
        <v>6</v>
      </c>
      <c r="D29" s="14">
        <v>0</v>
      </c>
    </row>
    <row r="30" spans="2:7" ht="15.75" x14ac:dyDescent="0.25">
      <c r="B30" s="57">
        <v>4</v>
      </c>
      <c r="C30" s="10" t="s">
        <v>7</v>
      </c>
      <c r="D30" s="14">
        <v>36</v>
      </c>
    </row>
    <row r="31" spans="2:7" ht="15.75" x14ac:dyDescent="0.25">
      <c r="B31" s="74" t="s">
        <v>23</v>
      </c>
      <c r="C31" s="75"/>
      <c r="D31" s="58">
        <f>SUM(D27:D30)</f>
        <v>946</v>
      </c>
    </row>
    <row r="35" spans="2:13" x14ac:dyDescent="0.25">
      <c r="G35" s="76" t="s">
        <v>47</v>
      </c>
      <c r="H35" s="76"/>
      <c r="I35" s="76"/>
      <c r="J35" s="76"/>
      <c r="K35" s="76"/>
      <c r="L35" s="76"/>
      <c r="M35" s="76"/>
    </row>
    <row r="36" spans="2:13" x14ac:dyDescent="0.25">
      <c r="G36" s="76"/>
      <c r="H36" s="76"/>
      <c r="I36" s="76"/>
      <c r="J36" s="76"/>
      <c r="K36" s="76"/>
      <c r="L36" s="76"/>
      <c r="M36" s="76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3" t="s">
        <v>19</v>
      </c>
      <c r="C41" s="73"/>
      <c r="D41" s="73"/>
    </row>
    <row r="42" spans="2:13" ht="15.75" x14ac:dyDescent="0.25">
      <c r="B42" s="57">
        <v>1</v>
      </c>
      <c r="C42" s="10" t="s">
        <v>10</v>
      </c>
      <c r="D42" s="11">
        <v>32</v>
      </c>
    </row>
    <row r="43" spans="2:13" ht="15.75" x14ac:dyDescent="0.25">
      <c r="B43" s="57">
        <v>2</v>
      </c>
      <c r="C43" s="10" t="s">
        <v>11</v>
      </c>
      <c r="D43" s="11">
        <v>1068</v>
      </c>
    </row>
    <row r="44" spans="2:13" ht="15.75" x14ac:dyDescent="0.25">
      <c r="B44" s="57">
        <v>3</v>
      </c>
      <c r="C44" s="10" t="s">
        <v>33</v>
      </c>
      <c r="D44" s="11">
        <v>0</v>
      </c>
    </row>
    <row r="45" spans="2:13" ht="15.75" x14ac:dyDescent="0.25">
      <c r="B45" s="57">
        <v>4</v>
      </c>
      <c r="C45" s="10" t="s">
        <v>32</v>
      </c>
      <c r="D45" s="11">
        <v>80</v>
      </c>
    </row>
    <row r="46" spans="2:13" ht="15.75" x14ac:dyDescent="0.25">
      <c r="B46" s="57">
        <v>5</v>
      </c>
      <c r="C46" s="10" t="s">
        <v>12</v>
      </c>
      <c r="D46" s="11">
        <v>0</v>
      </c>
    </row>
    <row r="47" spans="2:13" ht="15.75" x14ac:dyDescent="0.25">
      <c r="B47" s="66" t="s">
        <v>23</v>
      </c>
      <c r="C47" s="66"/>
      <c r="D47" s="7">
        <f>SUM(D42:D46)</f>
        <v>1180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14</v>
      </c>
      <c r="D57" s="19">
        <v>1</v>
      </c>
    </row>
    <row r="58" spans="2:7" ht="31.5" x14ac:dyDescent="0.25">
      <c r="B58" s="17">
        <v>2</v>
      </c>
      <c r="C58" s="18" t="s">
        <v>15</v>
      </c>
      <c r="D58" s="19">
        <v>944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392</v>
      </c>
    </row>
    <row r="60" spans="2:7" ht="31.5" x14ac:dyDescent="0.25">
      <c r="B60" s="17">
        <v>4</v>
      </c>
      <c r="C60" s="18" t="s">
        <v>17</v>
      </c>
      <c r="D60" s="19">
        <v>1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56"/>
      <c r="C62" s="55"/>
      <c r="D62" s="54"/>
    </row>
    <row r="63" spans="2:7" ht="15.75" x14ac:dyDescent="0.25">
      <c r="B63" s="56"/>
      <c r="C63" s="55"/>
      <c r="D63" s="54"/>
    </row>
    <row r="64" spans="2:7" x14ac:dyDescent="0.25">
      <c r="G64" s="22" t="s">
        <v>22</v>
      </c>
    </row>
    <row r="68" spans="7:13" x14ac:dyDescent="0.25">
      <c r="G68" s="76" t="s">
        <v>48</v>
      </c>
      <c r="H68" s="76"/>
      <c r="I68" s="76"/>
      <c r="J68" s="76"/>
      <c r="K68" s="76"/>
      <c r="L68" s="76"/>
      <c r="M68" s="76"/>
    </row>
    <row r="69" spans="7:13" ht="33" customHeight="1" x14ac:dyDescent="0.25">
      <c r="G69" s="76"/>
      <c r="H69" s="76"/>
      <c r="I69" s="76"/>
      <c r="J69" s="76"/>
      <c r="K69" s="76"/>
      <c r="L69" s="76"/>
      <c r="M69" s="76"/>
    </row>
  </sheetData>
  <mergeCells count="18">
    <mergeCell ref="G68:M69"/>
    <mergeCell ref="B56:D56"/>
    <mergeCell ref="B7:D7"/>
    <mergeCell ref="B15:C15"/>
    <mergeCell ref="B31:C31"/>
    <mergeCell ref="B47:C47"/>
    <mergeCell ref="B41:D41"/>
    <mergeCell ref="G35:M36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workbookViewId="0">
      <selection activeCell="E12" sqref="E12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7" t="s">
        <v>66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29"/>
      <c r="P1" s="1"/>
    </row>
    <row r="2" spans="1:16" ht="23.25" x14ac:dyDescent="0.35">
      <c r="A2" s="28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28"/>
    </row>
    <row r="4" spans="1:16" ht="23.25" x14ac:dyDescent="0.35">
      <c r="B4" s="70" t="s">
        <v>65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6" ht="23.25" x14ac:dyDescent="0.35">
      <c r="B5" s="61"/>
      <c r="C5" s="61"/>
      <c r="D5" s="61"/>
      <c r="E5" s="61"/>
      <c r="F5" s="61"/>
      <c r="G5" s="21" t="s">
        <v>21</v>
      </c>
      <c r="H5" s="61"/>
      <c r="I5" s="61"/>
      <c r="J5" s="61"/>
      <c r="K5" s="61"/>
      <c r="L5" s="61"/>
      <c r="M5" s="61"/>
      <c r="N5" s="61"/>
    </row>
    <row r="6" spans="1:16" ht="23.25" x14ac:dyDescent="0.35">
      <c r="B6" s="20" t="s">
        <v>20</v>
      </c>
      <c r="E6" s="61"/>
      <c r="F6" s="61"/>
      <c r="G6" s="61"/>
      <c r="H6" s="61"/>
      <c r="I6" s="61"/>
      <c r="J6" s="61"/>
      <c r="K6" s="61"/>
      <c r="L6" s="61"/>
      <c r="M6" s="61"/>
      <c r="N6" s="61"/>
    </row>
    <row r="7" spans="1:16" ht="23.25" x14ac:dyDescent="0.35">
      <c r="B7" s="73" t="s">
        <v>8</v>
      </c>
      <c r="C7" s="73"/>
      <c r="D7" s="73"/>
      <c r="E7" s="61"/>
      <c r="F7" s="61"/>
      <c r="G7" s="61"/>
      <c r="H7" s="61"/>
      <c r="I7" s="61"/>
      <c r="J7" s="61"/>
      <c r="K7" s="61"/>
      <c r="L7" s="61"/>
      <c r="M7" s="61"/>
      <c r="N7" s="61"/>
    </row>
    <row r="8" spans="1:16" ht="23.25" x14ac:dyDescent="0.35">
      <c r="B8" s="62">
        <v>1</v>
      </c>
      <c r="C8" s="4" t="s">
        <v>1</v>
      </c>
      <c r="D8" s="19">
        <v>452</v>
      </c>
      <c r="E8" s="61"/>
      <c r="F8" s="61"/>
      <c r="G8" s="61"/>
      <c r="H8" s="61"/>
      <c r="I8" s="61"/>
      <c r="J8" s="61"/>
      <c r="K8" s="61"/>
      <c r="L8" s="61"/>
      <c r="M8" s="61"/>
      <c r="N8" s="61"/>
    </row>
    <row r="9" spans="1:16" ht="15.75" x14ac:dyDescent="0.25">
      <c r="B9" s="62">
        <v>2</v>
      </c>
      <c r="C9" s="5" t="s">
        <v>30</v>
      </c>
      <c r="D9" s="19">
        <v>401</v>
      </c>
    </row>
    <row r="10" spans="1:16" ht="15.75" x14ac:dyDescent="0.25">
      <c r="B10" s="62">
        <v>3</v>
      </c>
      <c r="C10" s="5" t="s">
        <v>2</v>
      </c>
      <c r="D10" s="19">
        <v>162</v>
      </c>
    </row>
    <row r="11" spans="1:16" ht="31.5" x14ac:dyDescent="0.25">
      <c r="B11" s="62">
        <v>4</v>
      </c>
      <c r="C11" s="4" t="s">
        <v>3</v>
      </c>
      <c r="D11" s="19">
        <v>18</v>
      </c>
    </row>
    <row r="12" spans="1:16" ht="15.75" x14ac:dyDescent="0.25">
      <c r="B12" s="62">
        <v>5</v>
      </c>
      <c r="C12" s="4" t="s">
        <v>4</v>
      </c>
      <c r="D12" s="19">
        <v>49</v>
      </c>
    </row>
    <row r="13" spans="1:16" ht="15.75" x14ac:dyDescent="0.25">
      <c r="B13" s="62">
        <v>6</v>
      </c>
      <c r="C13" s="4" t="s">
        <v>37</v>
      </c>
      <c r="D13" s="6">
        <v>0</v>
      </c>
    </row>
    <row r="14" spans="1:16" ht="15.75" x14ac:dyDescent="0.25">
      <c r="B14" s="62">
        <v>7</v>
      </c>
      <c r="C14" s="4" t="s">
        <v>38</v>
      </c>
      <c r="D14" s="19">
        <v>0</v>
      </c>
    </row>
    <row r="15" spans="1:16" ht="15.75" x14ac:dyDescent="0.25">
      <c r="B15" s="66" t="s">
        <v>23</v>
      </c>
      <c r="C15" s="66"/>
      <c r="D15" s="26">
        <f>SUM(D8+D10+D11+D9+D13+D12)</f>
        <v>1082</v>
      </c>
    </row>
    <row r="17" spans="2:7" ht="15.75" x14ac:dyDescent="0.25">
      <c r="B17" s="71" t="s">
        <v>34</v>
      </c>
      <c r="C17" s="72"/>
      <c r="D17" s="23">
        <v>1082</v>
      </c>
      <c r="G17" s="22" t="s">
        <v>46</v>
      </c>
    </row>
    <row r="18" spans="2:7" ht="15.75" x14ac:dyDescent="0.25">
      <c r="B18" s="71" t="s">
        <v>35</v>
      </c>
      <c r="C18" s="72"/>
      <c r="D18" s="23">
        <v>18</v>
      </c>
    </row>
    <row r="19" spans="2:7" ht="15.75" x14ac:dyDescent="0.25">
      <c r="B19" s="71" t="s">
        <v>39</v>
      </c>
      <c r="C19" s="72"/>
      <c r="D19" s="23">
        <v>49</v>
      </c>
    </row>
    <row r="20" spans="2:7" ht="15.75" x14ac:dyDescent="0.25">
      <c r="B20" s="71" t="s">
        <v>37</v>
      </c>
      <c r="C20" s="72"/>
      <c r="D20" s="23">
        <v>0</v>
      </c>
    </row>
    <row r="21" spans="2:7" ht="15.75" x14ac:dyDescent="0.25">
      <c r="B21" s="71" t="s">
        <v>38</v>
      </c>
      <c r="C21" s="72"/>
      <c r="D21" s="23">
        <v>0</v>
      </c>
      <c r="G21" s="21" t="s">
        <v>25</v>
      </c>
    </row>
    <row r="22" spans="2:7" ht="15.75" x14ac:dyDescent="0.25">
      <c r="B22" s="71" t="s">
        <v>36</v>
      </c>
      <c r="C22" s="72"/>
      <c r="D22" s="27">
        <f>(D17)-D18</f>
        <v>1064</v>
      </c>
    </row>
    <row r="25" spans="2:7" ht="15.75" x14ac:dyDescent="0.25">
      <c r="B25" s="20" t="s">
        <v>24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60">
        <v>1</v>
      </c>
      <c r="C27" s="10" t="s">
        <v>5</v>
      </c>
      <c r="D27" s="11">
        <v>22</v>
      </c>
    </row>
    <row r="28" spans="2:7" ht="31.5" x14ac:dyDescent="0.25">
      <c r="B28" s="62">
        <v>2</v>
      </c>
      <c r="C28" s="12" t="s">
        <v>31</v>
      </c>
      <c r="D28" s="11">
        <v>797</v>
      </c>
    </row>
    <row r="29" spans="2:7" ht="15.75" x14ac:dyDescent="0.25">
      <c r="B29" s="60">
        <v>3</v>
      </c>
      <c r="C29" s="13" t="s">
        <v>6</v>
      </c>
      <c r="D29" s="14">
        <v>2</v>
      </c>
    </row>
    <row r="30" spans="2:7" ht="15.75" x14ac:dyDescent="0.25">
      <c r="B30" s="60">
        <v>4</v>
      </c>
      <c r="C30" s="10" t="s">
        <v>7</v>
      </c>
      <c r="D30" s="14">
        <v>32</v>
      </c>
    </row>
    <row r="31" spans="2:7" ht="15.75" x14ac:dyDescent="0.25">
      <c r="B31" s="74" t="s">
        <v>23</v>
      </c>
      <c r="C31" s="75"/>
      <c r="D31" s="62">
        <f>SUM(D27:D30)</f>
        <v>853</v>
      </c>
    </row>
    <row r="35" spans="2:13" x14ac:dyDescent="0.25">
      <c r="G35" s="76" t="s">
        <v>47</v>
      </c>
      <c r="H35" s="76"/>
      <c r="I35" s="76"/>
      <c r="J35" s="76"/>
      <c r="K35" s="76"/>
      <c r="L35" s="76"/>
      <c r="M35" s="76"/>
    </row>
    <row r="36" spans="2:13" x14ac:dyDescent="0.25">
      <c r="G36" s="76"/>
      <c r="H36" s="76"/>
      <c r="I36" s="76"/>
      <c r="J36" s="76"/>
      <c r="K36" s="76"/>
      <c r="L36" s="76"/>
      <c r="M36" s="76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3" t="s">
        <v>19</v>
      </c>
      <c r="C41" s="73"/>
      <c r="D41" s="73"/>
    </row>
    <row r="42" spans="2:13" ht="15.75" x14ac:dyDescent="0.25">
      <c r="B42" s="60">
        <v>1</v>
      </c>
      <c r="C42" s="10" t="s">
        <v>10</v>
      </c>
      <c r="D42" s="11">
        <v>32</v>
      </c>
    </row>
    <row r="43" spans="2:13" ht="15.75" x14ac:dyDescent="0.25">
      <c r="B43" s="60">
        <v>2</v>
      </c>
      <c r="C43" s="10" t="s">
        <v>11</v>
      </c>
      <c r="D43" s="11">
        <v>980</v>
      </c>
    </row>
    <row r="44" spans="2:13" ht="15.75" x14ac:dyDescent="0.25">
      <c r="B44" s="60">
        <v>3</v>
      </c>
      <c r="C44" s="10" t="s">
        <v>33</v>
      </c>
      <c r="D44" s="11">
        <v>0</v>
      </c>
    </row>
    <row r="45" spans="2:13" ht="15.75" x14ac:dyDescent="0.25">
      <c r="B45" s="60">
        <v>4</v>
      </c>
      <c r="C45" s="10" t="s">
        <v>32</v>
      </c>
      <c r="D45" s="11">
        <v>70</v>
      </c>
    </row>
    <row r="46" spans="2:13" ht="15.75" x14ac:dyDescent="0.25">
      <c r="B46" s="60">
        <v>5</v>
      </c>
      <c r="C46" s="10" t="s">
        <v>12</v>
      </c>
      <c r="D46" s="11">
        <v>0</v>
      </c>
    </row>
    <row r="47" spans="2:13" ht="15.75" x14ac:dyDescent="0.25">
      <c r="B47" s="66" t="s">
        <v>23</v>
      </c>
      <c r="C47" s="66"/>
      <c r="D47" s="7">
        <f>SUM(D42:D46)</f>
        <v>1082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14</v>
      </c>
      <c r="D57" s="19">
        <v>1</v>
      </c>
    </row>
    <row r="58" spans="2:7" ht="31.5" x14ac:dyDescent="0.25">
      <c r="B58" s="17">
        <v>2</v>
      </c>
      <c r="C58" s="18" t="s">
        <v>15</v>
      </c>
      <c r="D58" s="19">
        <v>852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368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56"/>
      <c r="C62" s="55"/>
      <c r="D62" s="54"/>
    </row>
    <row r="63" spans="2:7" ht="15.75" x14ac:dyDescent="0.25">
      <c r="B63" s="56"/>
      <c r="C63" s="55"/>
      <c r="D63" s="54"/>
    </row>
    <row r="64" spans="2:7" x14ac:dyDescent="0.25">
      <c r="G64" s="22" t="s">
        <v>22</v>
      </c>
    </row>
    <row r="68" spans="7:13" x14ac:dyDescent="0.25">
      <c r="G68" s="76" t="s">
        <v>48</v>
      </c>
      <c r="H68" s="76"/>
      <c r="I68" s="76"/>
      <c r="J68" s="76"/>
      <c r="K68" s="76"/>
      <c r="L68" s="76"/>
      <c r="M68" s="76"/>
    </row>
    <row r="69" spans="7:13" ht="33" customHeight="1" x14ac:dyDescent="0.25">
      <c r="G69" s="76"/>
      <c r="H69" s="76"/>
      <c r="I69" s="76"/>
      <c r="J69" s="76"/>
      <c r="K69" s="76"/>
      <c r="L69" s="76"/>
      <c r="M69" s="76"/>
    </row>
  </sheetData>
  <mergeCells count="18">
    <mergeCell ref="B31:C31"/>
    <mergeCell ref="B47:C47"/>
    <mergeCell ref="B41:D41"/>
    <mergeCell ref="G35:M36"/>
    <mergeCell ref="G68:M69"/>
    <mergeCell ref="B56:D56"/>
    <mergeCell ref="B7:D7"/>
    <mergeCell ref="B15:C15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69"/>
  <sheetViews>
    <sheetView tabSelected="1" workbookViewId="0">
      <selection activeCell="O7" sqref="O7"/>
    </sheetView>
  </sheetViews>
  <sheetFormatPr baseColWidth="10" defaultRowHeight="15" x14ac:dyDescent="0.25"/>
  <cols>
    <col min="1" max="2" width="11.42578125" style="2"/>
    <col min="3" max="3" width="17.140625" style="2" customWidth="1"/>
    <col min="4" max="4" width="14.85546875" style="2" bestFit="1" customWidth="1"/>
    <col min="5" max="16384" width="11.42578125" style="2"/>
  </cols>
  <sheetData>
    <row r="1" spans="1:16" ht="133.5" customHeight="1" x14ac:dyDescent="0.25">
      <c r="A1" s="28"/>
      <c r="B1" s="67" t="s">
        <v>68</v>
      </c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29"/>
      <c r="P1" s="1"/>
    </row>
    <row r="2" spans="1:16" ht="23.25" x14ac:dyDescent="0.35">
      <c r="A2" s="28"/>
      <c r="B2" s="68" t="s">
        <v>0</v>
      </c>
      <c r="C2" s="69"/>
      <c r="D2" s="69"/>
      <c r="E2" s="69"/>
      <c r="F2" s="69"/>
      <c r="G2" s="69"/>
      <c r="H2" s="69"/>
      <c r="I2" s="69"/>
      <c r="J2" s="69"/>
      <c r="K2" s="69"/>
      <c r="L2" s="69"/>
      <c r="M2" s="69"/>
      <c r="N2" s="69"/>
      <c r="O2" s="28"/>
    </row>
    <row r="4" spans="1:16" ht="23.25" x14ac:dyDescent="0.35">
      <c r="B4" s="70" t="s">
        <v>67</v>
      </c>
      <c r="C4" s="70"/>
      <c r="D4" s="70"/>
      <c r="E4" s="70"/>
      <c r="F4" s="70"/>
      <c r="G4" s="70"/>
      <c r="H4" s="70"/>
      <c r="I4" s="70"/>
      <c r="J4" s="70"/>
      <c r="K4" s="70"/>
      <c r="L4" s="70"/>
      <c r="M4" s="70"/>
      <c r="N4" s="70"/>
    </row>
    <row r="5" spans="1:16" ht="23.25" x14ac:dyDescent="0.35">
      <c r="B5" s="65"/>
      <c r="C5" s="65"/>
      <c r="D5" s="65"/>
      <c r="E5" s="65"/>
      <c r="F5" s="65"/>
      <c r="G5" s="21" t="s">
        <v>21</v>
      </c>
      <c r="H5" s="65"/>
      <c r="I5" s="65"/>
      <c r="J5" s="65"/>
      <c r="K5" s="65"/>
      <c r="L5" s="65"/>
      <c r="M5" s="65"/>
      <c r="N5" s="65"/>
    </row>
    <row r="6" spans="1:16" ht="23.25" x14ac:dyDescent="0.35">
      <c r="B6" s="20" t="s">
        <v>20</v>
      </c>
      <c r="E6" s="65"/>
      <c r="F6" s="65"/>
      <c r="G6" s="65"/>
      <c r="H6" s="65"/>
      <c r="I6" s="65"/>
      <c r="J6" s="65"/>
      <c r="K6" s="65"/>
      <c r="L6" s="65"/>
      <c r="M6" s="65"/>
      <c r="N6" s="65"/>
    </row>
    <row r="7" spans="1:16" ht="23.25" x14ac:dyDescent="0.35">
      <c r="B7" s="73" t="s">
        <v>8</v>
      </c>
      <c r="C7" s="73"/>
      <c r="D7" s="73"/>
      <c r="E7" s="65"/>
      <c r="F7" s="65"/>
      <c r="G7" s="65"/>
      <c r="H7" s="65"/>
      <c r="I7" s="65"/>
      <c r="J7" s="65"/>
      <c r="K7" s="65"/>
      <c r="L7" s="65"/>
      <c r="M7" s="65"/>
      <c r="N7" s="65"/>
    </row>
    <row r="8" spans="1:16" ht="23.25" x14ac:dyDescent="0.35">
      <c r="B8" s="64">
        <v>1</v>
      </c>
      <c r="C8" s="4" t="s">
        <v>1</v>
      </c>
      <c r="D8" s="19">
        <v>152</v>
      </c>
      <c r="E8" s="65"/>
      <c r="F8" s="65"/>
      <c r="G8" s="65"/>
      <c r="H8" s="65"/>
      <c r="I8" s="65"/>
      <c r="J8" s="65"/>
      <c r="K8" s="65"/>
      <c r="L8" s="65"/>
      <c r="M8" s="65"/>
      <c r="N8" s="65"/>
    </row>
    <row r="9" spans="1:16" ht="15.75" x14ac:dyDescent="0.25">
      <c r="B9" s="64">
        <v>2</v>
      </c>
      <c r="C9" s="5" t="s">
        <v>30</v>
      </c>
      <c r="D9" s="19">
        <v>137</v>
      </c>
    </row>
    <row r="10" spans="1:16" ht="15.75" x14ac:dyDescent="0.25">
      <c r="B10" s="64">
        <v>3</v>
      </c>
      <c r="C10" s="5" t="s">
        <v>2</v>
      </c>
      <c r="D10" s="19">
        <v>99</v>
      </c>
    </row>
    <row r="11" spans="1:16" ht="31.5" x14ac:dyDescent="0.25">
      <c r="B11" s="64">
        <v>4</v>
      </c>
      <c r="C11" s="4" t="s">
        <v>3</v>
      </c>
      <c r="D11" s="19">
        <v>6</v>
      </c>
    </row>
    <row r="12" spans="1:16" ht="15.75" x14ac:dyDescent="0.25">
      <c r="B12" s="64">
        <v>5</v>
      </c>
      <c r="C12" s="4" t="s">
        <v>4</v>
      </c>
      <c r="D12" s="19">
        <v>25</v>
      </c>
    </row>
    <row r="13" spans="1:16" ht="15.75" x14ac:dyDescent="0.25">
      <c r="B13" s="64">
        <v>6</v>
      </c>
      <c r="C13" s="4" t="s">
        <v>37</v>
      </c>
      <c r="D13" s="6">
        <v>0</v>
      </c>
    </row>
    <row r="14" spans="1:16" ht="15.75" x14ac:dyDescent="0.25">
      <c r="B14" s="64">
        <v>7</v>
      </c>
      <c r="C14" s="4" t="s">
        <v>38</v>
      </c>
      <c r="D14" s="19">
        <v>0</v>
      </c>
    </row>
    <row r="15" spans="1:16" ht="15.75" x14ac:dyDescent="0.25">
      <c r="B15" s="66" t="s">
        <v>23</v>
      </c>
      <c r="C15" s="66"/>
      <c r="D15" s="26">
        <f>SUM(D8+D10+D11+D9+D13+D12)</f>
        <v>419</v>
      </c>
    </row>
    <row r="17" spans="2:7" ht="15.75" x14ac:dyDescent="0.25">
      <c r="B17" s="71" t="s">
        <v>34</v>
      </c>
      <c r="C17" s="72"/>
      <c r="D17" s="23">
        <v>419</v>
      </c>
      <c r="G17" s="22" t="s">
        <v>46</v>
      </c>
    </row>
    <row r="18" spans="2:7" ht="15.75" x14ac:dyDescent="0.25">
      <c r="B18" s="71" t="s">
        <v>35</v>
      </c>
      <c r="C18" s="72"/>
      <c r="D18" s="23">
        <v>6</v>
      </c>
    </row>
    <row r="19" spans="2:7" ht="15.75" x14ac:dyDescent="0.25">
      <c r="B19" s="71" t="s">
        <v>39</v>
      </c>
      <c r="C19" s="72"/>
      <c r="D19" s="23">
        <v>25</v>
      </c>
    </row>
    <row r="20" spans="2:7" ht="15.75" x14ac:dyDescent="0.25">
      <c r="B20" s="71" t="s">
        <v>37</v>
      </c>
      <c r="C20" s="72"/>
      <c r="D20" s="23">
        <v>0</v>
      </c>
    </row>
    <row r="21" spans="2:7" ht="15.75" x14ac:dyDescent="0.25">
      <c r="B21" s="71" t="s">
        <v>38</v>
      </c>
      <c r="C21" s="72"/>
      <c r="D21" s="23">
        <v>0</v>
      </c>
      <c r="G21" s="21" t="s">
        <v>25</v>
      </c>
    </row>
    <row r="22" spans="2:7" ht="15.75" x14ac:dyDescent="0.25">
      <c r="B22" s="71" t="s">
        <v>36</v>
      </c>
      <c r="C22" s="72"/>
      <c r="D22" s="27">
        <f>(D17)-D18</f>
        <v>413</v>
      </c>
    </row>
    <row r="25" spans="2:7" ht="15.75" x14ac:dyDescent="0.25">
      <c r="B25" s="20" t="s">
        <v>24</v>
      </c>
    </row>
    <row r="26" spans="2:7" ht="15.75" x14ac:dyDescent="0.25">
      <c r="B26" s="66" t="s">
        <v>9</v>
      </c>
      <c r="C26" s="66"/>
      <c r="D26" s="66"/>
    </row>
    <row r="27" spans="2:7" ht="15.75" x14ac:dyDescent="0.25">
      <c r="B27" s="63">
        <v>1</v>
      </c>
      <c r="C27" s="10" t="s">
        <v>5</v>
      </c>
      <c r="D27" s="11">
        <v>8</v>
      </c>
    </row>
    <row r="28" spans="2:7" ht="31.5" x14ac:dyDescent="0.25">
      <c r="B28" s="64">
        <v>2</v>
      </c>
      <c r="C28" s="12" t="s">
        <v>31</v>
      </c>
      <c r="D28" s="11">
        <v>271</v>
      </c>
    </row>
    <row r="29" spans="2:7" ht="15.75" x14ac:dyDescent="0.25">
      <c r="B29" s="63">
        <v>3</v>
      </c>
      <c r="C29" s="13" t="s">
        <v>6</v>
      </c>
      <c r="D29" s="14">
        <v>0</v>
      </c>
    </row>
    <row r="30" spans="2:7" ht="15.75" x14ac:dyDescent="0.25">
      <c r="B30" s="63">
        <v>4</v>
      </c>
      <c r="C30" s="10" t="s">
        <v>7</v>
      </c>
      <c r="D30" s="14">
        <v>10</v>
      </c>
    </row>
    <row r="31" spans="2:7" ht="15.75" x14ac:dyDescent="0.25">
      <c r="B31" s="74" t="s">
        <v>23</v>
      </c>
      <c r="C31" s="75"/>
      <c r="D31" s="64">
        <f>SUM(D27:D30)</f>
        <v>289</v>
      </c>
    </row>
    <row r="35" spans="2:13" x14ac:dyDescent="0.25">
      <c r="G35" s="76" t="s">
        <v>47</v>
      </c>
      <c r="H35" s="76"/>
      <c r="I35" s="76"/>
      <c r="J35" s="76"/>
      <c r="K35" s="76"/>
      <c r="L35" s="76"/>
      <c r="M35" s="76"/>
    </row>
    <row r="36" spans="2:13" x14ac:dyDescent="0.25">
      <c r="G36" s="76"/>
      <c r="H36" s="76"/>
      <c r="I36" s="76"/>
      <c r="J36" s="76"/>
      <c r="K36" s="76"/>
      <c r="L36" s="76"/>
      <c r="M36" s="76"/>
    </row>
    <row r="40" spans="2:13" ht="15.75" x14ac:dyDescent="0.25">
      <c r="B40" s="20" t="s">
        <v>26</v>
      </c>
      <c r="C40" s="15"/>
      <c r="D40" s="16"/>
      <c r="G40" s="21" t="s">
        <v>27</v>
      </c>
    </row>
    <row r="41" spans="2:13" ht="15.75" x14ac:dyDescent="0.25">
      <c r="B41" s="73" t="s">
        <v>19</v>
      </c>
      <c r="C41" s="73"/>
      <c r="D41" s="73"/>
    </row>
    <row r="42" spans="2:13" ht="15.75" x14ac:dyDescent="0.25">
      <c r="B42" s="63">
        <v>1</v>
      </c>
      <c r="C42" s="10" t="s">
        <v>10</v>
      </c>
      <c r="D42" s="11">
        <v>17</v>
      </c>
    </row>
    <row r="43" spans="2:13" ht="15.75" x14ac:dyDescent="0.25">
      <c r="B43" s="63">
        <v>2</v>
      </c>
      <c r="C43" s="10" t="s">
        <v>11</v>
      </c>
      <c r="D43" s="11">
        <v>380</v>
      </c>
    </row>
    <row r="44" spans="2:13" ht="15.75" x14ac:dyDescent="0.25">
      <c r="B44" s="63">
        <v>3</v>
      </c>
      <c r="C44" s="10" t="s">
        <v>33</v>
      </c>
      <c r="D44" s="11">
        <v>0</v>
      </c>
    </row>
    <row r="45" spans="2:13" ht="15.75" x14ac:dyDescent="0.25">
      <c r="B45" s="63">
        <v>4</v>
      </c>
      <c r="C45" s="10" t="s">
        <v>32</v>
      </c>
      <c r="D45" s="11">
        <v>22</v>
      </c>
    </row>
    <row r="46" spans="2:13" ht="15.75" x14ac:dyDescent="0.25">
      <c r="B46" s="63">
        <v>5</v>
      </c>
      <c r="C46" s="10" t="s">
        <v>12</v>
      </c>
      <c r="D46" s="11">
        <v>0</v>
      </c>
    </row>
    <row r="47" spans="2:13" ht="15.75" x14ac:dyDescent="0.25">
      <c r="B47" s="66" t="s">
        <v>23</v>
      </c>
      <c r="C47" s="66"/>
      <c r="D47" s="7">
        <f>SUM(D42:D46)</f>
        <v>419</v>
      </c>
    </row>
    <row r="55" spans="2:7" ht="15.75" customHeight="1" x14ac:dyDescent="0.25">
      <c r="B55" s="20" t="s">
        <v>28</v>
      </c>
      <c r="G55" s="22" t="s">
        <v>41</v>
      </c>
    </row>
    <row r="56" spans="2:7" ht="15.75" x14ac:dyDescent="0.25">
      <c r="B56" s="66" t="s">
        <v>13</v>
      </c>
      <c r="C56" s="66"/>
      <c r="D56" s="66"/>
    </row>
    <row r="57" spans="2:7" ht="31.5" x14ac:dyDescent="0.25">
      <c r="B57" s="17">
        <v>1</v>
      </c>
      <c r="C57" s="18" t="s">
        <v>14</v>
      </c>
      <c r="D57" s="19">
        <v>0</v>
      </c>
    </row>
    <row r="58" spans="2:7" ht="31.5" x14ac:dyDescent="0.25">
      <c r="B58" s="17">
        <v>2</v>
      </c>
      <c r="C58" s="18" t="s">
        <v>15</v>
      </c>
      <c r="D58" s="19">
        <v>289</v>
      </c>
      <c r="G58" s="21" t="s">
        <v>29</v>
      </c>
    </row>
    <row r="59" spans="2:7" ht="31.5" x14ac:dyDescent="0.25">
      <c r="B59" s="17">
        <v>3</v>
      </c>
      <c r="C59" s="18" t="s">
        <v>16</v>
      </c>
      <c r="D59" s="19">
        <v>194</v>
      </c>
    </row>
    <row r="60" spans="2:7" ht="31.5" x14ac:dyDescent="0.25">
      <c r="B60" s="17">
        <v>4</v>
      </c>
      <c r="C60" s="18" t="s">
        <v>17</v>
      </c>
      <c r="D60" s="19">
        <v>0</v>
      </c>
    </row>
    <row r="61" spans="2:7" ht="31.5" x14ac:dyDescent="0.25">
      <c r="B61" s="17">
        <v>5</v>
      </c>
      <c r="C61" s="18" t="s">
        <v>18</v>
      </c>
      <c r="D61" s="19">
        <v>0</v>
      </c>
    </row>
    <row r="62" spans="2:7" ht="15.75" x14ac:dyDescent="0.25">
      <c r="B62" s="56"/>
      <c r="C62" s="55"/>
      <c r="D62" s="54"/>
    </row>
    <row r="63" spans="2:7" ht="15.75" x14ac:dyDescent="0.25">
      <c r="B63" s="56"/>
      <c r="C63" s="55"/>
      <c r="D63" s="54"/>
    </row>
    <row r="64" spans="2:7" x14ac:dyDescent="0.25">
      <c r="G64" s="22" t="s">
        <v>22</v>
      </c>
    </row>
    <row r="68" spans="7:13" x14ac:dyDescent="0.25">
      <c r="G68" s="76" t="s">
        <v>48</v>
      </c>
      <c r="H68" s="76"/>
      <c r="I68" s="76"/>
      <c r="J68" s="76"/>
      <c r="K68" s="76"/>
      <c r="L68" s="76"/>
      <c r="M68" s="76"/>
    </row>
    <row r="69" spans="7:13" ht="33" customHeight="1" x14ac:dyDescent="0.25">
      <c r="G69" s="76"/>
      <c r="H69" s="76"/>
      <c r="I69" s="76"/>
      <c r="J69" s="76"/>
      <c r="K69" s="76"/>
      <c r="L69" s="76"/>
      <c r="M69" s="76"/>
    </row>
  </sheetData>
  <mergeCells count="18">
    <mergeCell ref="G68:M69"/>
    <mergeCell ref="B56:D56"/>
    <mergeCell ref="B7:D7"/>
    <mergeCell ref="B15:C15"/>
    <mergeCell ref="B31:C31"/>
    <mergeCell ref="B47:C47"/>
    <mergeCell ref="B41:D41"/>
    <mergeCell ref="G35:M36"/>
    <mergeCell ref="B26:D26"/>
    <mergeCell ref="B1:N1"/>
    <mergeCell ref="B2:N2"/>
    <mergeCell ref="B4:N4"/>
    <mergeCell ref="B22:C22"/>
    <mergeCell ref="B21:C21"/>
    <mergeCell ref="B18:C18"/>
    <mergeCell ref="B17:C17"/>
    <mergeCell ref="B19:C19"/>
    <mergeCell ref="B20:C20"/>
  </mergeCells>
  <pageMargins left="0.7" right="0.7" top="0.75" bottom="0.75" header="0.3" footer="0.3"/>
  <pageSetup scale="68" fitToHeight="0" orientation="landscape" horizontalDpi="429496729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Enero23</vt:lpstr>
      <vt:lpstr>Febrero23</vt:lpstr>
      <vt:lpstr>Marzo23</vt:lpstr>
      <vt:lpstr>Abril23</vt:lpstr>
      <vt:lpstr>Mayo23</vt:lpstr>
      <vt:lpstr>Junio23</vt:lpstr>
      <vt:lpstr>Julio23</vt:lpstr>
      <vt:lpstr>Agosto23</vt:lpstr>
      <vt:lpstr>Septiembre23</vt:lpstr>
      <vt:lpstr>Octubre23</vt:lpstr>
      <vt:lpstr>Noviembre23</vt:lpstr>
      <vt:lpstr>Diciembre23</vt:lpstr>
    </vt:vector>
  </TitlesOfParts>
  <Company>GP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cpu</dc:creator>
  <cp:lastModifiedBy>Cano Maldonado Jair Benjamin</cp:lastModifiedBy>
  <cp:lastPrinted>2022-05-19T21:02:50Z</cp:lastPrinted>
  <dcterms:created xsi:type="dcterms:W3CDTF">2018-02-21T05:25:03Z</dcterms:created>
  <dcterms:modified xsi:type="dcterms:W3CDTF">2024-01-15T18:56:38Z</dcterms:modified>
</cp:coreProperties>
</file>