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40" windowWidth="20730" windowHeight="11760" activeTab="2"/>
  </bookViews>
  <sheets>
    <sheet name="Enero26" sheetId="1" r:id="rId1"/>
    <sheet name="Febrero26" sheetId="2" r:id="rId2"/>
    <sheet name="Marzo26" sheetId="3" r:id="rId3"/>
  </sheets>
  <calcPr calcId="145621"/>
  <extLst>
    <ext uri="GoogleSheetsCustomDataVersion2">
      <go:sheetsCustomData xmlns:go="http://customooxmlschemas.google.com/" r:id="rId13" roundtripDataChecksum="3UHH4t6Ep/r9MBsJjk9DyfJ2XvkTLXgNLKKeHgG/AxI="/>
    </ext>
  </extLst>
</workbook>
</file>

<file path=xl/calcChain.xml><?xml version="1.0" encoding="utf-8"?>
<calcChain xmlns="http://schemas.openxmlformats.org/spreadsheetml/2006/main">
  <c r="D49" i="3" l="1"/>
  <c r="D29" i="3"/>
  <c r="D16" i="3"/>
  <c r="D49" i="2" l="1"/>
  <c r="D29" i="2"/>
  <c r="D16" i="2"/>
  <c r="D49" i="1" l="1"/>
  <c r="D29" i="1"/>
  <c r="D16" i="1"/>
</calcChain>
</file>

<file path=xl/sharedStrings.xml><?xml version="1.0" encoding="utf-8"?>
<sst xmlns="http://schemas.openxmlformats.org/spreadsheetml/2006/main" count="117" uniqueCount="36">
  <si>
    <t>Dirección de Transparencia y Buenas Prácticas</t>
  </si>
  <si>
    <t>No.</t>
  </si>
  <si>
    <t>Tipo de respuesta</t>
  </si>
  <si>
    <t>cantidad</t>
  </si>
  <si>
    <t>Afirmativa</t>
  </si>
  <si>
    <t>Afirmativa parcial</t>
  </si>
  <si>
    <t>Negativa</t>
  </si>
  <si>
    <t>Acuerdos de no competencia</t>
  </si>
  <si>
    <t>Prevenciones</t>
  </si>
  <si>
    <t>Canceladas</t>
  </si>
  <si>
    <t>Derecho de petición</t>
  </si>
  <si>
    <t>Total</t>
  </si>
  <si>
    <t>Gráfica Clasificación de la Información</t>
  </si>
  <si>
    <t>Clasificación de la Información</t>
  </si>
  <si>
    <t xml:space="preserve">Tipo de Información </t>
  </si>
  <si>
    <t>Cantidad</t>
  </si>
  <si>
    <t xml:space="preserve">Fundamental        </t>
  </si>
  <si>
    <t>Ordinaria y de libre acceso</t>
  </si>
  <si>
    <t xml:space="preserve">Reservada              </t>
  </si>
  <si>
    <t xml:space="preserve">Confidencial            </t>
  </si>
  <si>
    <t>Gráfica medios de recepción</t>
  </si>
  <si>
    <t>Medio de recepción</t>
  </si>
  <si>
    <t xml:space="preserve">No. </t>
  </si>
  <si>
    <t>Clasificación</t>
  </si>
  <si>
    <t>Personales</t>
  </si>
  <si>
    <t>Electrónicas</t>
  </si>
  <si>
    <t>Telefónica</t>
  </si>
  <si>
    <t>Correo electrónico</t>
  </si>
  <si>
    <t>Estrados</t>
  </si>
  <si>
    <t>Solicitudes del mes de enero de 2026</t>
  </si>
  <si>
    <t>Gráfica Solicitudes de información</t>
  </si>
  <si>
    <t xml:space="preserve">Solicitudes de información </t>
  </si>
  <si>
    <t>Nota: Elaboración propia con datos del control de registro de solicitudes 2026.</t>
  </si>
  <si>
    <t>Nota: Elaboración propia con datos del control de registro de solicitudes 2026. Corresponden a la suma de solicitudes Afirmativa y Afirmativa parcial</t>
  </si>
  <si>
    <t>Solicitudes del mes de febrero de 2026</t>
  </si>
  <si>
    <t>Solicitudes del mes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</si>
</sst>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scheme val="minor"/>
    </font>
    <font>
      <sz val="12"/>
      <color theme="1"/>
      <name val="Seravek"/>
      <family val="2"/>
    </font>
    <font>
      <sz val="12"/>
      <color theme="1"/>
      <name val="Seravek"/>
      <family val="2"/>
    </font>
    <font>
      <b/>
      <sz val="12"/>
      <color theme="1"/>
      <name val="Seravek"/>
      <family val="2"/>
    </font>
    <font>
      <sz val="12"/>
      <name val="Seravek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9E5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5" fillId="0" borderId="1"/>
    <xf numFmtId="0" fontId="6" fillId="0" borderId="1"/>
  </cellStyleXfs>
  <cellXfs count="43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" fontId="2" fillId="0" borderId="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3" fillId="0" borderId="2" xfId="0" applyFont="1" applyBorder="1" applyAlignment="1">
      <alignment horizontal="center"/>
    </xf>
    <xf numFmtId="0" fontId="4" fillId="0" borderId="4" xfId="0" applyFont="1" applyBorder="1"/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CC9E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504316939890710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Enero26!$C$9:$C$15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de petición</c:v>
                </c:pt>
              </c:strCache>
            </c:strRef>
          </c:cat>
          <c:val>
            <c:numRef>
              <c:f>Enero26!$D$9:$D$15</c:f>
              <c:numCache>
                <c:formatCode>General</c:formatCode>
                <c:ptCount val="7"/>
                <c:pt idx="0">
                  <c:v>422</c:v>
                </c:pt>
                <c:pt idx="1">
                  <c:v>451</c:v>
                </c:pt>
                <c:pt idx="2">
                  <c:v>145</c:v>
                </c:pt>
                <c:pt idx="3">
                  <c:v>9</c:v>
                </c:pt>
                <c:pt idx="4">
                  <c:v>37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896256"/>
        <c:axId val="236898176"/>
      </c:barChart>
      <c:catAx>
        <c:axId val="23689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ES"/>
          </a:p>
        </c:txPr>
        <c:crossAx val="236898176"/>
        <c:crosses val="autoZero"/>
        <c:auto val="1"/>
        <c:lblAlgn val="ctr"/>
        <c:lblOffset val="100"/>
        <c:noMultiLvlLbl val="1"/>
      </c:catAx>
      <c:valAx>
        <c:axId val="236898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368962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Enero26!$C$25:$C$28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Enero26!$D$25:$D$28</c:f>
              <c:numCache>
                <c:formatCode>General</c:formatCode>
                <c:ptCount val="4"/>
                <c:pt idx="0">
                  <c:v>19</c:v>
                </c:pt>
                <c:pt idx="1">
                  <c:v>844</c:v>
                </c:pt>
                <c:pt idx="2">
                  <c:v>158</c:v>
                </c:pt>
                <c:pt idx="3">
                  <c:v>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98304"/>
        <c:axId val="238129152"/>
      </c:barChart>
      <c:catAx>
        <c:axId val="23809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ES"/>
          </a:p>
        </c:txPr>
        <c:crossAx val="238129152"/>
        <c:crosses val="autoZero"/>
        <c:auto val="1"/>
        <c:lblAlgn val="ctr"/>
        <c:lblOffset val="100"/>
        <c:noMultiLvlLbl val="1"/>
      </c:catAx>
      <c:valAx>
        <c:axId val="238129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380983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Enero26!$C$44:$C$48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Enero26!$D$44:$D$48</c:f>
              <c:numCache>
                <c:formatCode>General</c:formatCode>
                <c:ptCount val="5"/>
                <c:pt idx="0">
                  <c:v>17</c:v>
                </c:pt>
                <c:pt idx="1">
                  <c:v>989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145536"/>
        <c:axId val="238147456"/>
      </c:barChart>
      <c:catAx>
        <c:axId val="23814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38147456"/>
        <c:crosses val="autoZero"/>
        <c:auto val="1"/>
        <c:lblAlgn val="ctr"/>
        <c:lblOffset val="100"/>
        <c:noMultiLvlLbl val="1"/>
      </c:catAx>
      <c:valAx>
        <c:axId val="238147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381455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504316939890710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Febrero26!$C$9:$C$15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de petición</c:v>
                </c:pt>
              </c:strCache>
            </c:strRef>
          </c:cat>
          <c:val>
            <c:numRef>
              <c:f>Febrero26!$D$9:$D$15</c:f>
              <c:numCache>
                <c:formatCode>General</c:formatCode>
                <c:ptCount val="7"/>
                <c:pt idx="0">
                  <c:v>286</c:v>
                </c:pt>
                <c:pt idx="1">
                  <c:v>253</c:v>
                </c:pt>
                <c:pt idx="2">
                  <c:v>122</c:v>
                </c:pt>
                <c:pt idx="3">
                  <c:v>9</c:v>
                </c:pt>
                <c:pt idx="4">
                  <c:v>38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320256"/>
        <c:axId val="238326528"/>
      </c:barChart>
      <c:catAx>
        <c:axId val="238320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ES"/>
          </a:p>
        </c:txPr>
        <c:crossAx val="238326528"/>
        <c:crosses val="autoZero"/>
        <c:auto val="1"/>
        <c:lblAlgn val="ctr"/>
        <c:lblOffset val="100"/>
        <c:noMultiLvlLbl val="1"/>
      </c:catAx>
      <c:valAx>
        <c:axId val="238326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383202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Febrero26!$C$25:$C$28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Febrero26!$D$25:$D$28</c:f>
              <c:numCache>
                <c:formatCode>General</c:formatCode>
                <c:ptCount val="4"/>
                <c:pt idx="0">
                  <c:v>23</c:v>
                </c:pt>
                <c:pt idx="1">
                  <c:v>667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340352"/>
        <c:axId val="263725440"/>
      </c:barChart>
      <c:catAx>
        <c:axId val="23834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ES"/>
          </a:p>
        </c:txPr>
        <c:crossAx val="263725440"/>
        <c:crosses val="autoZero"/>
        <c:auto val="1"/>
        <c:lblAlgn val="ctr"/>
        <c:lblOffset val="100"/>
        <c:noMultiLvlLbl val="1"/>
      </c:catAx>
      <c:valAx>
        <c:axId val="263725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383403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Febrero26!$C$44:$C$48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Febrero26!$D$44:$D$48</c:f>
              <c:numCache>
                <c:formatCode>General</c:formatCode>
                <c:ptCount val="5"/>
                <c:pt idx="0">
                  <c:v>22</c:v>
                </c:pt>
                <c:pt idx="1">
                  <c:v>638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746304"/>
        <c:axId val="263748224"/>
      </c:barChart>
      <c:catAx>
        <c:axId val="26374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63748224"/>
        <c:crosses val="autoZero"/>
        <c:auto val="1"/>
        <c:lblAlgn val="ctr"/>
        <c:lblOffset val="100"/>
        <c:noMultiLvlLbl val="1"/>
      </c:catAx>
      <c:valAx>
        <c:axId val="263748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637463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05111861017374"/>
          <c:y val="6.5967041005120255E-2"/>
          <c:w val="0.86986726659167601"/>
          <c:h val="0.504316939890710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Marzo26!$C$9:$C$15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de petición</c:v>
                </c:pt>
              </c:strCache>
            </c:strRef>
          </c:cat>
          <c:val>
            <c:numRef>
              <c:f>Marzo26!$D$9:$D$15</c:f>
              <c:numCache>
                <c:formatCode>General</c:formatCode>
                <c:ptCount val="7"/>
                <c:pt idx="0">
                  <c:v>341</c:v>
                </c:pt>
                <c:pt idx="1">
                  <c:v>290</c:v>
                </c:pt>
                <c:pt idx="2">
                  <c:v>183</c:v>
                </c:pt>
                <c:pt idx="3">
                  <c:v>13</c:v>
                </c:pt>
                <c:pt idx="4">
                  <c:v>37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810048"/>
        <c:axId val="263812224"/>
      </c:barChart>
      <c:catAx>
        <c:axId val="26381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@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ES"/>
          </a:p>
        </c:txPr>
        <c:crossAx val="263812224"/>
        <c:crosses val="autoZero"/>
        <c:auto val="1"/>
        <c:lblAlgn val="ctr"/>
        <c:lblOffset val="100"/>
        <c:noMultiLvlLbl val="1"/>
      </c:catAx>
      <c:valAx>
        <c:axId val="263812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638100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Marzo26!$C$25:$C$28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Marzo26!$D$25:$D$28</c:f>
              <c:numCache>
                <c:formatCode>General</c:formatCode>
                <c:ptCount val="4"/>
                <c:pt idx="0">
                  <c:v>22</c:v>
                </c:pt>
                <c:pt idx="1">
                  <c:v>819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844992"/>
        <c:axId val="263846912"/>
      </c:barChart>
      <c:catAx>
        <c:axId val="26384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Times New Roman"/>
              </a:defRPr>
            </a:pPr>
            <a:endParaRPr lang="es-ES"/>
          </a:p>
        </c:txPr>
        <c:crossAx val="263846912"/>
        <c:crosses val="autoZero"/>
        <c:auto val="1"/>
        <c:lblAlgn val="ctr"/>
        <c:lblOffset val="100"/>
        <c:noMultiLvlLbl val="1"/>
      </c:catAx>
      <c:valAx>
        <c:axId val="263846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638449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C9E52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Marzo26!$C$44:$C$48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Marzo26!$D$44:$D$48</c:f>
              <c:numCache>
                <c:formatCode>General</c:formatCode>
                <c:ptCount val="5"/>
                <c:pt idx="0">
                  <c:v>24</c:v>
                </c:pt>
                <c:pt idx="1">
                  <c:v>790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963776"/>
        <c:axId val="263965696"/>
      </c:barChart>
      <c:catAx>
        <c:axId val="26396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63965696"/>
        <c:crosses val="autoZero"/>
        <c:auto val="1"/>
        <c:lblAlgn val="ctr"/>
        <c:lblOffset val="100"/>
        <c:noMultiLvlLbl val="1"/>
      </c:catAx>
      <c:valAx>
        <c:axId val="263965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2639637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714374</xdr:colOff>
      <xdr:row>6</xdr:row>
      <xdr:rowOff>19050</xdr:rowOff>
    </xdr:from>
    <xdr:ext cx="5000625" cy="3324225"/>
    <xdr:graphicFrame macro="">
      <xdr:nvGraphicFramePr>
        <xdr:cNvPr id="16940435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22</xdr:row>
      <xdr:rowOff>19050</xdr:rowOff>
    </xdr:from>
    <xdr:ext cx="5029200" cy="2752725"/>
    <xdr:graphicFrame macro="">
      <xdr:nvGraphicFramePr>
        <xdr:cNvPr id="26548871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41</xdr:row>
      <xdr:rowOff>9525</xdr:rowOff>
    </xdr:from>
    <xdr:ext cx="5029200" cy="2790825"/>
    <xdr:graphicFrame macro="">
      <xdr:nvGraphicFramePr>
        <xdr:cNvPr id="104385598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3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714374</xdr:colOff>
      <xdr:row>6</xdr:row>
      <xdr:rowOff>19050</xdr:rowOff>
    </xdr:from>
    <xdr:ext cx="5000625" cy="332422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22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41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810375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714374</xdr:colOff>
      <xdr:row>6</xdr:row>
      <xdr:rowOff>19050</xdr:rowOff>
    </xdr:from>
    <xdr:ext cx="5000625" cy="3324225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22</xdr:row>
      <xdr:rowOff>19050</xdr:rowOff>
    </xdr:from>
    <xdr:ext cx="5029200" cy="2752725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41</xdr:row>
      <xdr:rowOff>9525</xdr:rowOff>
    </xdr:from>
    <xdr:ext cx="5029200" cy="2790825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161925</xdr:colOff>
      <xdr:row>0</xdr:row>
      <xdr:rowOff>180975</xdr:rowOff>
    </xdr:from>
    <xdr:ext cx="2266950" cy="7905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180975"/>
          <a:ext cx="22669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0</xdr:row>
      <xdr:rowOff>0</xdr:rowOff>
    </xdr:from>
    <xdr:ext cx="3257550" cy="1133475"/>
    <xdr:pic>
      <xdr:nvPicPr>
        <xdr:cNvPr id="6" name="image2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810375" y="0"/>
          <a:ext cx="3257550" cy="1133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9"/>
  <sheetViews>
    <sheetView workbookViewId="0">
      <selection activeCell="D26" sqref="D26"/>
    </sheetView>
  </sheetViews>
  <sheetFormatPr baseColWidth="10" defaultColWidth="14.42578125" defaultRowHeight="15" customHeight="1"/>
  <cols>
    <col min="1" max="1" width="7.28515625" style="2" customWidth="1"/>
    <col min="2" max="2" width="10.7109375" style="2" customWidth="1"/>
    <col min="3" max="3" width="21.7109375" style="2" bestFit="1" customWidth="1"/>
    <col min="4" max="4" width="14.85546875" style="2" customWidth="1"/>
    <col min="5" max="26" width="10.7109375" style="2" customWidth="1"/>
    <col min="27" max="16384" width="14.42578125" style="2"/>
  </cols>
  <sheetData>
    <row r="1" spans="1:26" ht="90.75" customHeight="1">
      <c r="A1" s="32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1"/>
      <c r="O1" s="1"/>
      <c r="P1" s="1"/>
      <c r="Q1" s="1"/>
    </row>
    <row r="2" spans="1:26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6" ht="15.75">
      <c r="A3" s="33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1"/>
      <c r="O3" s="1"/>
      <c r="P3" s="1"/>
      <c r="Q3" s="1"/>
    </row>
    <row r="4" spans="1:26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6" ht="15.75">
      <c r="A5" s="1"/>
      <c r="B5" s="33" t="s">
        <v>29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26" ht="15.75">
      <c r="A6" s="1"/>
      <c r="B6" s="3"/>
      <c r="C6" s="3"/>
      <c r="D6" s="3"/>
      <c r="E6" s="3"/>
      <c r="F6" s="3"/>
      <c r="G6" s="34" t="s">
        <v>30</v>
      </c>
      <c r="H6" s="31"/>
      <c r="I6" s="31"/>
      <c r="J6" s="31"/>
      <c r="K6" s="31"/>
      <c r="L6" s="31"/>
      <c r="M6" s="31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4"/>
      <c r="B7" s="35" t="s">
        <v>31</v>
      </c>
      <c r="C7" s="36"/>
      <c r="D7" s="3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6" ht="15.75">
      <c r="A8" s="4"/>
      <c r="B8" s="22" t="s">
        <v>1</v>
      </c>
      <c r="C8" s="22" t="s">
        <v>2</v>
      </c>
      <c r="D8" s="22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6" ht="15.75">
      <c r="A9" s="1"/>
      <c r="B9" s="6">
        <v>1</v>
      </c>
      <c r="C9" s="7" t="s">
        <v>4</v>
      </c>
      <c r="D9" s="8">
        <v>422</v>
      </c>
      <c r="E9" s="3"/>
      <c r="F9" s="3"/>
      <c r="G9" s="3"/>
      <c r="H9" s="3"/>
      <c r="I9" s="3"/>
      <c r="J9" s="3"/>
      <c r="K9" s="3"/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6">
        <v>2</v>
      </c>
      <c r="C10" s="9" t="s">
        <v>5</v>
      </c>
      <c r="D10" s="8">
        <v>451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6" ht="15.75">
      <c r="A11" s="1"/>
      <c r="B11" s="6">
        <v>3</v>
      </c>
      <c r="C11" s="9" t="s">
        <v>6</v>
      </c>
      <c r="D11" s="8">
        <v>145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6" ht="30">
      <c r="A12" s="1"/>
      <c r="B12" s="6">
        <v>4</v>
      </c>
      <c r="C12" s="7" t="s">
        <v>7</v>
      </c>
      <c r="D12" s="8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6" ht="15.75">
      <c r="A13" s="1"/>
      <c r="B13" s="6">
        <v>5</v>
      </c>
      <c r="C13" s="7" t="s">
        <v>8</v>
      </c>
      <c r="D13" s="8">
        <v>37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26" ht="15.75">
      <c r="A14" s="1"/>
      <c r="B14" s="6">
        <v>6</v>
      </c>
      <c r="C14" s="7" t="s">
        <v>9</v>
      </c>
      <c r="D14" s="10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26" ht="15.75">
      <c r="A15" s="1"/>
      <c r="B15" s="6">
        <v>7</v>
      </c>
      <c r="C15" s="7" t="s">
        <v>10</v>
      </c>
      <c r="D15" s="8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38" t="s">
        <v>11</v>
      </c>
      <c r="C16" s="39"/>
      <c r="D16" s="11">
        <f>SUM(D9:D15)</f>
        <v>1064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26" ht="44.25" customHeight="1">
      <c r="A18" s="1"/>
      <c r="B18" s="30"/>
      <c r="C18" s="31"/>
      <c r="D18" s="12"/>
      <c r="E18" s="1"/>
      <c r="F18" s="1"/>
      <c r="H18" s="1"/>
      <c r="I18" s="1"/>
      <c r="J18" s="1"/>
      <c r="K18" s="1"/>
      <c r="L18" s="1"/>
      <c r="M18" s="1"/>
      <c r="N18" s="1"/>
    </row>
    <row r="19" spans="1:26" ht="27.75" customHeight="1">
      <c r="A19" s="1"/>
      <c r="B19" s="30"/>
      <c r="C19" s="31"/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26" ht="30" customHeight="1">
      <c r="A20" s="1"/>
      <c r="B20" s="30"/>
      <c r="C20" s="31"/>
      <c r="D20" s="12"/>
      <c r="E20" s="1"/>
      <c r="F20" s="1"/>
      <c r="G20" s="23" t="s">
        <v>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>
      <c r="A21" s="1"/>
      <c r="B21" s="30"/>
      <c r="C21" s="31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0"/>
      <c r="C22" s="31"/>
      <c r="D22" s="12"/>
      <c r="E22" s="1"/>
      <c r="F22" s="1"/>
      <c r="G22" s="33" t="s">
        <v>12</v>
      </c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2" t="s">
        <v>13</v>
      </c>
      <c r="C23" s="36"/>
      <c r="D23" s="37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26" ht="28.5" customHeight="1">
      <c r="A24" s="1"/>
      <c r="B24" s="6" t="s">
        <v>1</v>
      </c>
      <c r="C24" s="13" t="s">
        <v>14</v>
      </c>
      <c r="D24" s="6" t="s">
        <v>15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26" ht="15.75" customHeight="1">
      <c r="A25" s="1"/>
      <c r="B25" s="14">
        <v>1</v>
      </c>
      <c r="C25" s="15" t="s">
        <v>16</v>
      </c>
      <c r="D25" s="16">
        <v>19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26" ht="31.5" customHeight="1">
      <c r="A26" s="1"/>
      <c r="B26" s="6">
        <v>2</v>
      </c>
      <c r="C26" s="5" t="s">
        <v>17</v>
      </c>
      <c r="D26" s="8">
        <v>844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26" ht="15.75" customHeight="1">
      <c r="A27" s="1"/>
      <c r="B27" s="14">
        <v>3</v>
      </c>
      <c r="C27" s="17" t="s">
        <v>18</v>
      </c>
      <c r="D27" s="8">
        <v>158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26" ht="15.75" customHeight="1">
      <c r="A28" s="1"/>
      <c r="B28" s="14">
        <v>4</v>
      </c>
      <c r="C28" s="15" t="s">
        <v>19</v>
      </c>
      <c r="D28" s="8">
        <v>34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26" ht="15.75" customHeight="1">
      <c r="A29" s="1"/>
      <c r="B29" s="41" t="s">
        <v>11</v>
      </c>
      <c r="C29" s="39"/>
      <c r="D29" s="6">
        <f>SUM(D25:D28)</f>
        <v>1055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26" ht="15.75" customHeight="1">
      <c r="A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26" ht="15.75" customHeight="1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26" ht="15.75" customHeight="1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ht="15.75" customHeight="1">
      <c r="A36" s="1"/>
      <c r="B36" s="1"/>
      <c r="C36" s="1"/>
      <c r="D36" s="1"/>
      <c r="E36" s="1"/>
      <c r="F36" s="1"/>
      <c r="G36" s="40" t="s">
        <v>33</v>
      </c>
      <c r="H36" s="31"/>
      <c r="I36" s="31"/>
      <c r="J36" s="31"/>
      <c r="K36" s="31"/>
      <c r="L36" s="31"/>
      <c r="M36" s="31"/>
      <c r="N36" s="1"/>
    </row>
    <row r="37" spans="1:26" ht="15.75" customHeight="1">
      <c r="A37" s="1"/>
      <c r="B37" s="1"/>
      <c r="C37" s="1"/>
      <c r="D37" s="1"/>
      <c r="E37" s="1"/>
      <c r="F37" s="1"/>
      <c r="G37" s="31"/>
      <c r="H37" s="31"/>
      <c r="I37" s="31"/>
      <c r="J37" s="31"/>
      <c r="K37" s="31"/>
      <c r="L37" s="31"/>
      <c r="M37" s="31"/>
      <c r="N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1.5" customHeight="1">
      <c r="A41" s="1"/>
      <c r="E41" s="18"/>
      <c r="F41" s="1"/>
      <c r="G41" s="33" t="s">
        <v>20</v>
      </c>
      <c r="H41" s="31"/>
      <c r="I41" s="31"/>
      <c r="J41" s="31"/>
      <c r="K41" s="31"/>
      <c r="L41" s="31"/>
      <c r="M41" s="3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5" t="s">
        <v>21</v>
      </c>
      <c r="C42" s="36"/>
      <c r="D42" s="3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9" t="s">
        <v>22</v>
      </c>
      <c r="C43" s="20" t="s">
        <v>23</v>
      </c>
      <c r="D43" s="21" t="s">
        <v>15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26" ht="15.75" customHeight="1">
      <c r="A44" s="1"/>
      <c r="B44" s="14">
        <v>1</v>
      </c>
      <c r="C44" s="15" t="s">
        <v>24</v>
      </c>
      <c r="D44" s="16">
        <v>17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26" ht="15.75" customHeight="1">
      <c r="A45" s="1"/>
      <c r="B45" s="14">
        <v>2</v>
      </c>
      <c r="C45" s="15" t="s">
        <v>25</v>
      </c>
      <c r="D45" s="16">
        <v>989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26" ht="15.75" customHeight="1">
      <c r="A46" s="1"/>
      <c r="B46" s="14">
        <v>3</v>
      </c>
      <c r="C46" s="15" t="s">
        <v>26</v>
      </c>
      <c r="D46" s="16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26" ht="15.75" customHeight="1">
      <c r="A47" s="1"/>
      <c r="B47" s="14">
        <v>4</v>
      </c>
      <c r="C47" s="15" t="s">
        <v>27</v>
      </c>
      <c r="D47" s="16">
        <v>58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26" ht="15.75" customHeight="1">
      <c r="A48" s="1"/>
      <c r="B48" s="14">
        <v>5</v>
      </c>
      <c r="C48" s="15" t="s">
        <v>28</v>
      </c>
      <c r="D48" s="16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>
      <c r="A49" s="1"/>
      <c r="B49" s="38" t="s">
        <v>11</v>
      </c>
      <c r="C49" s="39"/>
      <c r="D49" s="14">
        <f>SUM(D44:D48)</f>
        <v>1064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>
      <c r="A56" s="1"/>
      <c r="E56" s="1"/>
      <c r="F56" s="1"/>
      <c r="G56" s="23" t="s">
        <v>32</v>
      </c>
      <c r="H56" s="1"/>
      <c r="I56" s="1"/>
      <c r="J56" s="1"/>
      <c r="K56" s="1"/>
      <c r="L56" s="1"/>
      <c r="M56" s="1"/>
      <c r="N56" s="1"/>
    </row>
    <row r="57" spans="1:14" ht="15.75" customHeight="1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>
      <c r="A59" s="1"/>
      <c r="E59" s="1"/>
      <c r="F59" s="1"/>
      <c r="I59" s="1"/>
      <c r="J59" s="1"/>
      <c r="K59" s="1"/>
      <c r="L59" s="1"/>
      <c r="M59" s="1"/>
      <c r="N59" s="1"/>
    </row>
    <row r="60" spans="1:14" ht="15.75" customHeight="1">
      <c r="A60" s="1"/>
    </row>
    <row r="61" spans="1:14" ht="15.75" customHeight="1">
      <c r="A61" s="1"/>
    </row>
    <row r="62" spans="1:14" ht="15.75" customHeight="1">
      <c r="A62" s="1"/>
    </row>
    <row r="63" spans="1:14" ht="15.75" customHeight="1">
      <c r="A63" s="1"/>
    </row>
    <row r="64" spans="1:14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</sheetData>
  <mergeCells count="18">
    <mergeCell ref="G41:M41"/>
    <mergeCell ref="B42:D42"/>
    <mergeCell ref="B49:C49"/>
    <mergeCell ref="B21:C21"/>
    <mergeCell ref="B22:C22"/>
    <mergeCell ref="G22:M22"/>
    <mergeCell ref="G36:M37"/>
    <mergeCell ref="B29:C29"/>
    <mergeCell ref="B23:D23"/>
    <mergeCell ref="B19:C19"/>
    <mergeCell ref="B20:C20"/>
    <mergeCell ref="A1:M1"/>
    <mergeCell ref="A3:M3"/>
    <mergeCell ref="G6:M6"/>
    <mergeCell ref="B7:D7"/>
    <mergeCell ref="B5:N5"/>
    <mergeCell ref="B16:C16"/>
    <mergeCell ref="B18:C18"/>
  </mergeCells>
  <pageMargins left="0.7" right="0.7" top="0.75" bottom="0.75" header="0" footer="0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9"/>
  <sheetViews>
    <sheetView workbookViewId="0">
      <selection activeCell="E25" sqref="E25"/>
    </sheetView>
  </sheetViews>
  <sheetFormatPr baseColWidth="10" defaultColWidth="14.42578125" defaultRowHeight="15" customHeight="1"/>
  <cols>
    <col min="1" max="1" width="7.28515625" style="24" customWidth="1"/>
    <col min="2" max="2" width="10.7109375" style="24" customWidth="1"/>
    <col min="3" max="3" width="21.7109375" style="24" bestFit="1" customWidth="1"/>
    <col min="4" max="4" width="14.85546875" style="24" customWidth="1"/>
    <col min="5" max="26" width="10.7109375" style="24" customWidth="1"/>
    <col min="27" max="16384" width="14.42578125" style="24"/>
  </cols>
  <sheetData>
    <row r="1" spans="1:26" ht="90.75" customHeight="1">
      <c r="A1" s="32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1"/>
      <c r="O1" s="1"/>
      <c r="P1" s="1"/>
      <c r="Q1" s="1"/>
    </row>
    <row r="2" spans="1:26">
      <c r="A2" s="1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26" ht="15.75">
      <c r="A3" s="33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1"/>
      <c r="O3" s="1"/>
      <c r="P3" s="1"/>
      <c r="Q3" s="1"/>
    </row>
    <row r="4" spans="1:26">
      <c r="A4" s="1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26" ht="15.75">
      <c r="A5" s="1"/>
      <c r="B5" s="33" t="s">
        <v>34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26" ht="15.75">
      <c r="A6" s="1"/>
      <c r="B6" s="25"/>
      <c r="C6" s="25"/>
      <c r="D6" s="25"/>
      <c r="E6" s="25"/>
      <c r="F6" s="25"/>
      <c r="G6" s="34" t="s">
        <v>30</v>
      </c>
      <c r="H6" s="31"/>
      <c r="I6" s="31"/>
      <c r="J6" s="31"/>
      <c r="K6" s="31"/>
      <c r="L6" s="31"/>
      <c r="M6" s="31"/>
      <c r="N6" s="2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26"/>
      <c r="B7" s="35" t="s">
        <v>31</v>
      </c>
      <c r="C7" s="36"/>
      <c r="D7" s="3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6" ht="15.75">
      <c r="A8" s="26"/>
      <c r="B8" s="22" t="s">
        <v>1</v>
      </c>
      <c r="C8" s="22" t="s">
        <v>2</v>
      </c>
      <c r="D8" s="22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6" ht="15.75">
      <c r="A9" s="1"/>
      <c r="B9" s="6">
        <v>1</v>
      </c>
      <c r="C9" s="7" t="s">
        <v>4</v>
      </c>
      <c r="D9" s="8">
        <v>286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6">
        <v>2</v>
      </c>
      <c r="C10" s="9" t="s">
        <v>5</v>
      </c>
      <c r="D10" s="8">
        <v>253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6" ht="15.75">
      <c r="A11" s="1"/>
      <c r="B11" s="6">
        <v>3</v>
      </c>
      <c r="C11" s="9" t="s">
        <v>6</v>
      </c>
      <c r="D11" s="8">
        <v>122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6" ht="30">
      <c r="A12" s="1"/>
      <c r="B12" s="6">
        <v>4</v>
      </c>
      <c r="C12" s="7" t="s">
        <v>7</v>
      </c>
      <c r="D12" s="8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6" ht="15.75">
      <c r="A13" s="1"/>
      <c r="B13" s="6">
        <v>5</v>
      </c>
      <c r="C13" s="7" t="s">
        <v>8</v>
      </c>
      <c r="D13" s="8">
        <v>38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26" ht="15.75">
      <c r="A14" s="1"/>
      <c r="B14" s="6">
        <v>6</v>
      </c>
      <c r="C14" s="7" t="s">
        <v>9</v>
      </c>
      <c r="D14" s="10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26" ht="15.75">
      <c r="A15" s="1"/>
      <c r="B15" s="6">
        <v>7</v>
      </c>
      <c r="C15" s="7" t="s">
        <v>10</v>
      </c>
      <c r="D15" s="8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38" t="s">
        <v>11</v>
      </c>
      <c r="C16" s="39"/>
      <c r="D16" s="11">
        <f>SUM(D9:D15)</f>
        <v>708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26" ht="44.25" customHeight="1">
      <c r="A18" s="1"/>
      <c r="B18" s="30"/>
      <c r="C18" s="31"/>
      <c r="D18" s="12"/>
      <c r="E18" s="1"/>
      <c r="F18" s="1"/>
      <c r="H18" s="1"/>
      <c r="I18" s="1"/>
      <c r="J18" s="1"/>
      <c r="K18" s="1"/>
      <c r="L18" s="1"/>
      <c r="M18" s="1"/>
      <c r="N18" s="1"/>
    </row>
    <row r="19" spans="1:26" ht="27.75" customHeight="1">
      <c r="A19" s="1"/>
      <c r="B19" s="30"/>
      <c r="C19" s="31"/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26" ht="30" customHeight="1">
      <c r="A20" s="1"/>
      <c r="B20" s="30"/>
      <c r="C20" s="31"/>
      <c r="D20" s="12"/>
      <c r="E20" s="1"/>
      <c r="F20" s="1"/>
      <c r="G20" s="23" t="s">
        <v>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>
      <c r="A21" s="1"/>
      <c r="B21" s="30"/>
      <c r="C21" s="31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0"/>
      <c r="C22" s="31"/>
      <c r="D22" s="12"/>
      <c r="E22" s="1"/>
      <c r="F22" s="1"/>
      <c r="G22" s="33" t="s">
        <v>12</v>
      </c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2" t="s">
        <v>13</v>
      </c>
      <c r="C23" s="36"/>
      <c r="D23" s="37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26" ht="28.5" customHeight="1">
      <c r="A24" s="1"/>
      <c r="B24" s="6" t="s">
        <v>1</v>
      </c>
      <c r="C24" s="13" t="s">
        <v>14</v>
      </c>
      <c r="D24" s="6" t="s">
        <v>15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26" ht="15.75" customHeight="1">
      <c r="A25" s="1"/>
      <c r="B25" s="14">
        <v>1</v>
      </c>
      <c r="C25" s="15" t="s">
        <v>16</v>
      </c>
      <c r="D25" s="16">
        <v>23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26" ht="31.5" customHeight="1">
      <c r="A26" s="1"/>
      <c r="B26" s="6">
        <v>2</v>
      </c>
      <c r="C26" s="5" t="s">
        <v>17</v>
      </c>
      <c r="D26" s="8">
        <v>667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26" ht="15.75" customHeight="1">
      <c r="A27" s="1"/>
      <c r="B27" s="14">
        <v>3</v>
      </c>
      <c r="C27" s="17" t="s">
        <v>18</v>
      </c>
      <c r="D27" s="8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26" ht="15.75" customHeight="1">
      <c r="A28" s="1"/>
      <c r="B28" s="14">
        <v>4</v>
      </c>
      <c r="C28" s="15" t="s">
        <v>19</v>
      </c>
      <c r="D28" s="8">
        <v>3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26" ht="15.75" customHeight="1">
      <c r="A29" s="1"/>
      <c r="B29" s="41" t="s">
        <v>11</v>
      </c>
      <c r="C29" s="39"/>
      <c r="D29" s="6">
        <f>SUM(D25:D28)</f>
        <v>699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26" ht="15.75" customHeight="1">
      <c r="A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26" ht="15.75" customHeight="1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26" ht="15.75" customHeight="1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ht="15.75" customHeight="1">
      <c r="A36" s="1"/>
      <c r="B36" s="1"/>
      <c r="C36" s="1"/>
      <c r="D36" s="1"/>
      <c r="E36" s="1"/>
      <c r="F36" s="1"/>
      <c r="G36" s="40" t="s">
        <v>33</v>
      </c>
      <c r="H36" s="31"/>
      <c r="I36" s="31"/>
      <c r="J36" s="31"/>
      <c r="K36" s="31"/>
      <c r="L36" s="31"/>
      <c r="M36" s="31"/>
      <c r="N36" s="1"/>
    </row>
    <row r="37" spans="1:26" ht="15.75" customHeight="1">
      <c r="A37" s="1"/>
      <c r="B37" s="1"/>
      <c r="C37" s="1"/>
      <c r="D37" s="1"/>
      <c r="E37" s="1"/>
      <c r="F37" s="1"/>
      <c r="G37" s="31"/>
      <c r="H37" s="31"/>
      <c r="I37" s="31"/>
      <c r="J37" s="31"/>
      <c r="K37" s="31"/>
      <c r="L37" s="31"/>
      <c r="M37" s="31"/>
      <c r="N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1.5" customHeight="1">
      <c r="A41" s="1"/>
      <c r="E41" s="18"/>
      <c r="F41" s="1"/>
      <c r="G41" s="33" t="s">
        <v>20</v>
      </c>
      <c r="H41" s="31"/>
      <c r="I41" s="31"/>
      <c r="J41" s="31"/>
      <c r="K41" s="31"/>
      <c r="L41" s="31"/>
      <c r="M41" s="3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5" t="s">
        <v>21</v>
      </c>
      <c r="C42" s="36"/>
      <c r="D42" s="3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9" t="s">
        <v>22</v>
      </c>
      <c r="C43" s="20" t="s">
        <v>23</v>
      </c>
      <c r="D43" s="21" t="s">
        <v>15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26" ht="15.75" customHeight="1">
      <c r="A44" s="1"/>
      <c r="B44" s="14">
        <v>1</v>
      </c>
      <c r="C44" s="15" t="s">
        <v>24</v>
      </c>
      <c r="D44" s="16">
        <v>22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26" ht="15.75" customHeight="1">
      <c r="A45" s="1"/>
      <c r="B45" s="14">
        <v>2</v>
      </c>
      <c r="C45" s="15" t="s">
        <v>25</v>
      </c>
      <c r="D45" s="16">
        <v>638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26" ht="15.75" customHeight="1">
      <c r="A46" s="1"/>
      <c r="B46" s="14">
        <v>3</v>
      </c>
      <c r="C46" s="15" t="s">
        <v>26</v>
      </c>
      <c r="D46" s="16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26" ht="15.75" customHeight="1">
      <c r="A47" s="1"/>
      <c r="B47" s="14">
        <v>4</v>
      </c>
      <c r="C47" s="15" t="s">
        <v>27</v>
      </c>
      <c r="D47" s="16">
        <v>48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26" ht="15.75" customHeight="1">
      <c r="A48" s="1"/>
      <c r="B48" s="14">
        <v>5</v>
      </c>
      <c r="C48" s="15" t="s">
        <v>28</v>
      </c>
      <c r="D48" s="16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>
      <c r="A49" s="1"/>
      <c r="B49" s="38" t="s">
        <v>11</v>
      </c>
      <c r="C49" s="39"/>
      <c r="D49" s="14">
        <f>SUM(D44:D48)</f>
        <v>708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>
      <c r="A56" s="1"/>
      <c r="E56" s="1"/>
      <c r="F56" s="1"/>
      <c r="G56" s="23" t="s">
        <v>32</v>
      </c>
      <c r="H56" s="1"/>
      <c r="I56" s="1"/>
      <c r="J56" s="1"/>
      <c r="K56" s="1"/>
      <c r="L56" s="1"/>
      <c r="M56" s="1"/>
      <c r="N56" s="1"/>
    </row>
    <row r="57" spans="1:14" ht="15.75" customHeight="1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>
      <c r="A59" s="1"/>
      <c r="E59" s="1"/>
      <c r="F59" s="1"/>
      <c r="I59" s="1"/>
      <c r="J59" s="1"/>
      <c r="K59" s="1"/>
      <c r="L59" s="1"/>
      <c r="M59" s="1"/>
      <c r="N59" s="1"/>
    </row>
    <row r="60" spans="1:14" ht="15.75" customHeight="1">
      <c r="A60" s="1"/>
    </row>
    <row r="61" spans="1:14" ht="15.75" customHeight="1">
      <c r="A61" s="1"/>
    </row>
    <row r="62" spans="1:14" ht="15.75" customHeight="1">
      <c r="A62" s="1"/>
    </row>
    <row r="63" spans="1:14" ht="15.75" customHeight="1">
      <c r="A63" s="1"/>
    </row>
    <row r="64" spans="1:14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</sheetData>
  <mergeCells count="18">
    <mergeCell ref="G36:M37"/>
    <mergeCell ref="G41:M41"/>
    <mergeCell ref="B42:D42"/>
    <mergeCell ref="B49:C49"/>
    <mergeCell ref="B18:C18"/>
    <mergeCell ref="B19:C19"/>
    <mergeCell ref="B20:C20"/>
    <mergeCell ref="B21:C21"/>
    <mergeCell ref="B22:C22"/>
    <mergeCell ref="B23:D23"/>
    <mergeCell ref="B29:C29"/>
    <mergeCell ref="G22:M22"/>
    <mergeCell ref="A1:M1"/>
    <mergeCell ref="A3:M3"/>
    <mergeCell ref="B5:N5"/>
    <mergeCell ref="G6:M6"/>
    <mergeCell ref="B7:D7"/>
    <mergeCell ref="B16:C16"/>
  </mergeCells>
  <pageMargins left="0.7" right="0.7" top="0.75" bottom="0.75" header="0" footer="0"/>
  <pageSetup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9"/>
  <sheetViews>
    <sheetView tabSelected="1" workbookViewId="0">
      <selection activeCell="D29" sqref="D29"/>
    </sheetView>
  </sheetViews>
  <sheetFormatPr baseColWidth="10" defaultColWidth="14.42578125" defaultRowHeight="15" customHeight="1"/>
  <cols>
    <col min="1" max="1" width="7.28515625" style="28" customWidth="1"/>
    <col min="2" max="2" width="10.7109375" style="28" customWidth="1"/>
    <col min="3" max="3" width="21.7109375" style="28" bestFit="1" customWidth="1"/>
    <col min="4" max="4" width="14.85546875" style="28" customWidth="1"/>
    <col min="5" max="26" width="10.7109375" style="28" customWidth="1"/>
    <col min="27" max="16384" width="14.42578125" style="28"/>
  </cols>
  <sheetData>
    <row r="1" spans="1:26" ht="90.75" customHeight="1">
      <c r="A1" s="32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1"/>
      <c r="O1" s="1"/>
      <c r="P1" s="1"/>
      <c r="Q1" s="1"/>
    </row>
    <row r="2" spans="1:26">
      <c r="A2" s="1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26" ht="15.75">
      <c r="A3" s="33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1"/>
      <c r="O3" s="1"/>
      <c r="P3" s="1"/>
      <c r="Q3" s="1"/>
    </row>
    <row r="4" spans="1:26">
      <c r="A4" s="1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26" ht="15.75">
      <c r="A5" s="1"/>
      <c r="B5" s="33" t="s">
        <v>35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26" ht="15.75">
      <c r="A6" s="1"/>
      <c r="B6" s="27"/>
      <c r="C6" s="27"/>
      <c r="D6" s="27"/>
      <c r="E6" s="27"/>
      <c r="F6" s="27"/>
      <c r="G6" s="34" t="s">
        <v>30</v>
      </c>
      <c r="H6" s="31"/>
      <c r="I6" s="31"/>
      <c r="J6" s="31"/>
      <c r="K6" s="31"/>
      <c r="L6" s="31"/>
      <c r="M6" s="31"/>
      <c r="N6" s="2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29"/>
      <c r="B7" s="35" t="s">
        <v>31</v>
      </c>
      <c r="C7" s="36"/>
      <c r="D7" s="3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6" ht="15.75">
      <c r="A8" s="29"/>
      <c r="B8" s="22" t="s">
        <v>1</v>
      </c>
      <c r="C8" s="22" t="s">
        <v>2</v>
      </c>
      <c r="D8" s="22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6" ht="15.75">
      <c r="A9" s="1"/>
      <c r="B9" s="6">
        <v>1</v>
      </c>
      <c r="C9" s="7" t="s">
        <v>4</v>
      </c>
      <c r="D9" s="8">
        <v>341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6">
        <v>2</v>
      </c>
      <c r="C10" s="9" t="s">
        <v>5</v>
      </c>
      <c r="D10" s="8">
        <v>290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6" ht="15.75">
      <c r="A11" s="1"/>
      <c r="B11" s="6">
        <v>3</v>
      </c>
      <c r="C11" s="9" t="s">
        <v>6</v>
      </c>
      <c r="D11" s="8">
        <v>183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6" ht="30">
      <c r="A12" s="1"/>
      <c r="B12" s="6">
        <v>4</v>
      </c>
      <c r="C12" s="7" t="s">
        <v>7</v>
      </c>
      <c r="D12" s="8">
        <v>13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6" ht="15.75">
      <c r="A13" s="1"/>
      <c r="B13" s="6">
        <v>5</v>
      </c>
      <c r="C13" s="7" t="s">
        <v>8</v>
      </c>
      <c r="D13" s="8">
        <v>37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26" ht="15.75">
      <c r="A14" s="1"/>
      <c r="B14" s="6">
        <v>6</v>
      </c>
      <c r="C14" s="7" t="s">
        <v>9</v>
      </c>
      <c r="D14" s="10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26" ht="15.75">
      <c r="A15" s="1"/>
      <c r="B15" s="6">
        <v>7</v>
      </c>
      <c r="C15" s="7" t="s">
        <v>10</v>
      </c>
      <c r="D15" s="8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38" t="s">
        <v>11</v>
      </c>
      <c r="C16" s="39"/>
      <c r="D16" s="11">
        <f>SUM(D9:D15)</f>
        <v>864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26" ht="44.25" customHeight="1">
      <c r="A18" s="1"/>
      <c r="B18" s="30"/>
      <c r="C18" s="31"/>
      <c r="D18" s="12"/>
      <c r="E18" s="1"/>
      <c r="F18" s="1"/>
      <c r="H18" s="1"/>
      <c r="I18" s="1"/>
      <c r="J18" s="1"/>
      <c r="K18" s="1"/>
      <c r="L18" s="1"/>
      <c r="M18" s="1"/>
      <c r="N18" s="1"/>
    </row>
    <row r="19" spans="1:26" ht="27.75" customHeight="1">
      <c r="A19" s="1"/>
      <c r="B19" s="30"/>
      <c r="C19" s="31"/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26" ht="30" customHeight="1">
      <c r="A20" s="1"/>
      <c r="B20" s="30"/>
      <c r="C20" s="31"/>
      <c r="D20" s="12"/>
      <c r="E20" s="1"/>
      <c r="F20" s="1"/>
      <c r="G20" s="23" t="s">
        <v>32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>
      <c r="A21" s="1"/>
      <c r="B21" s="30"/>
      <c r="C21" s="31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30"/>
      <c r="C22" s="31"/>
      <c r="D22" s="12"/>
      <c r="E22" s="1"/>
      <c r="F22" s="1"/>
      <c r="G22" s="33" t="s">
        <v>12</v>
      </c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2" t="s">
        <v>13</v>
      </c>
      <c r="C23" s="36"/>
      <c r="D23" s="37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26" ht="28.5" customHeight="1">
      <c r="A24" s="1"/>
      <c r="B24" s="6" t="s">
        <v>1</v>
      </c>
      <c r="C24" s="13" t="s">
        <v>14</v>
      </c>
      <c r="D24" s="6" t="s">
        <v>15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26" ht="15.75" customHeight="1">
      <c r="A25" s="1"/>
      <c r="B25" s="14">
        <v>1</v>
      </c>
      <c r="C25" s="15" t="s">
        <v>16</v>
      </c>
      <c r="D25" s="16">
        <v>22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26" ht="31.5" customHeight="1">
      <c r="A26" s="1"/>
      <c r="B26" s="6">
        <v>2</v>
      </c>
      <c r="C26" s="5" t="s">
        <v>17</v>
      </c>
      <c r="D26" s="8">
        <v>819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26" ht="15.75" customHeight="1">
      <c r="A27" s="1"/>
      <c r="B27" s="14">
        <v>3</v>
      </c>
      <c r="C27" s="17" t="s">
        <v>18</v>
      </c>
      <c r="D27" s="8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26" ht="15.75" customHeight="1">
      <c r="A28" s="1"/>
      <c r="B28" s="14">
        <v>4</v>
      </c>
      <c r="C28" s="15" t="s">
        <v>19</v>
      </c>
      <c r="D28" s="8">
        <v>4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26" ht="15.75" customHeight="1">
      <c r="A29" s="1"/>
      <c r="B29" s="41" t="s">
        <v>11</v>
      </c>
      <c r="C29" s="39"/>
      <c r="D29" s="6">
        <f>SUM(D25:D28)</f>
        <v>851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26" ht="15.75" customHeight="1">
      <c r="A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26" ht="15.75" customHeight="1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26" ht="15.75" customHeight="1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ht="15.75" customHeight="1">
      <c r="A36" s="1"/>
      <c r="B36" s="1"/>
      <c r="C36" s="1"/>
      <c r="D36" s="1"/>
      <c r="E36" s="1"/>
      <c r="F36" s="1"/>
      <c r="G36" s="40" t="s">
        <v>33</v>
      </c>
      <c r="H36" s="31"/>
      <c r="I36" s="31"/>
      <c r="J36" s="31"/>
      <c r="K36" s="31"/>
      <c r="L36" s="31"/>
      <c r="M36" s="31"/>
      <c r="N36" s="1"/>
    </row>
    <row r="37" spans="1:26" ht="15.75" customHeight="1">
      <c r="A37" s="1"/>
      <c r="B37" s="1"/>
      <c r="C37" s="1"/>
      <c r="D37" s="1"/>
      <c r="E37" s="1"/>
      <c r="F37" s="1"/>
      <c r="G37" s="31"/>
      <c r="H37" s="31"/>
      <c r="I37" s="31"/>
      <c r="J37" s="31"/>
      <c r="K37" s="31"/>
      <c r="L37" s="31"/>
      <c r="M37" s="31"/>
      <c r="N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1.5" customHeight="1">
      <c r="A41" s="1"/>
      <c r="E41" s="18"/>
      <c r="F41" s="1"/>
      <c r="G41" s="33" t="s">
        <v>20</v>
      </c>
      <c r="H41" s="31"/>
      <c r="I41" s="31"/>
      <c r="J41" s="31"/>
      <c r="K41" s="31"/>
      <c r="L41" s="31"/>
      <c r="M41" s="3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35" t="s">
        <v>21</v>
      </c>
      <c r="C42" s="36"/>
      <c r="D42" s="3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9" t="s">
        <v>22</v>
      </c>
      <c r="C43" s="20" t="s">
        <v>23</v>
      </c>
      <c r="D43" s="21" t="s">
        <v>15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26" ht="15.75" customHeight="1">
      <c r="A44" s="1"/>
      <c r="B44" s="14">
        <v>1</v>
      </c>
      <c r="C44" s="15" t="s">
        <v>24</v>
      </c>
      <c r="D44" s="16">
        <v>24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26" ht="15.75" customHeight="1">
      <c r="A45" s="1"/>
      <c r="B45" s="14">
        <v>2</v>
      </c>
      <c r="C45" s="15" t="s">
        <v>25</v>
      </c>
      <c r="D45" s="16">
        <v>790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26" ht="15.75" customHeight="1">
      <c r="A46" s="1"/>
      <c r="B46" s="14">
        <v>3</v>
      </c>
      <c r="C46" s="15" t="s">
        <v>26</v>
      </c>
      <c r="D46" s="16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26" ht="15.75" customHeight="1">
      <c r="A47" s="1"/>
      <c r="B47" s="14">
        <v>4</v>
      </c>
      <c r="C47" s="15" t="s">
        <v>27</v>
      </c>
      <c r="D47" s="16">
        <v>50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26" ht="15.75" customHeight="1">
      <c r="A48" s="1"/>
      <c r="B48" s="14">
        <v>5</v>
      </c>
      <c r="C48" s="15" t="s">
        <v>28</v>
      </c>
      <c r="D48" s="16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>
      <c r="A49" s="1"/>
      <c r="B49" s="38" t="s">
        <v>11</v>
      </c>
      <c r="C49" s="39"/>
      <c r="D49" s="14">
        <f>SUM(D44:D48)</f>
        <v>864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>
      <c r="A56" s="1"/>
      <c r="E56" s="1"/>
      <c r="F56" s="1"/>
      <c r="G56" s="23" t="s">
        <v>32</v>
      </c>
      <c r="H56" s="1"/>
      <c r="I56" s="1"/>
      <c r="J56" s="1"/>
      <c r="K56" s="1"/>
      <c r="L56" s="1"/>
      <c r="M56" s="1"/>
      <c r="N56" s="1"/>
    </row>
    <row r="57" spans="1:14" ht="15.75" customHeight="1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customHeight="1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customHeight="1">
      <c r="A59" s="1"/>
      <c r="E59" s="1"/>
      <c r="F59" s="1"/>
      <c r="I59" s="1"/>
      <c r="J59" s="1"/>
      <c r="K59" s="1"/>
      <c r="L59" s="1"/>
      <c r="M59" s="1"/>
      <c r="N59" s="1"/>
    </row>
    <row r="60" spans="1:14" ht="15.75" customHeight="1">
      <c r="A60" s="1"/>
    </row>
    <row r="61" spans="1:14" ht="15.75" customHeight="1">
      <c r="A61" s="1"/>
    </row>
    <row r="62" spans="1:14" ht="15.75" customHeight="1">
      <c r="A62" s="1"/>
    </row>
    <row r="63" spans="1:14" ht="15.75" customHeight="1">
      <c r="A63" s="1"/>
    </row>
    <row r="64" spans="1:14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  <row r="954" spans="1:1" ht="15.75" customHeight="1">
      <c r="A954" s="1"/>
    </row>
    <row r="955" spans="1:1" ht="15.75" customHeight="1">
      <c r="A955" s="1"/>
    </row>
    <row r="956" spans="1:1" ht="15.75" customHeight="1">
      <c r="A956" s="1"/>
    </row>
    <row r="957" spans="1:1" ht="15.75" customHeight="1">
      <c r="A957" s="1"/>
    </row>
    <row r="958" spans="1:1" ht="15.75" customHeight="1">
      <c r="A958" s="1"/>
    </row>
    <row r="959" spans="1:1" ht="15.75" customHeight="1">
      <c r="A959" s="1"/>
    </row>
    <row r="960" spans="1:1" ht="15.75" customHeight="1">
      <c r="A960" s="1"/>
    </row>
    <row r="961" spans="1:1" ht="15.75" customHeight="1">
      <c r="A961" s="1"/>
    </row>
    <row r="962" spans="1:1" ht="15.75" customHeight="1">
      <c r="A962" s="1"/>
    </row>
    <row r="963" spans="1:1" ht="15.75" customHeight="1">
      <c r="A963" s="1"/>
    </row>
    <row r="964" spans="1:1" ht="15.75" customHeight="1">
      <c r="A964" s="1"/>
    </row>
    <row r="965" spans="1:1" ht="15.75" customHeight="1">
      <c r="A965" s="1"/>
    </row>
    <row r="966" spans="1:1" ht="15.75" customHeight="1">
      <c r="A966" s="1"/>
    </row>
    <row r="967" spans="1:1" ht="15.75" customHeight="1">
      <c r="A967" s="1"/>
    </row>
    <row r="968" spans="1:1" ht="15.75" customHeight="1">
      <c r="A968" s="1"/>
    </row>
    <row r="969" spans="1:1" ht="15.75" customHeight="1">
      <c r="A969" s="1"/>
    </row>
    <row r="970" spans="1:1" ht="15.75" customHeight="1">
      <c r="A970" s="1"/>
    </row>
    <row r="971" spans="1:1" ht="15.75" customHeight="1">
      <c r="A971" s="1"/>
    </row>
    <row r="972" spans="1:1" ht="15.75" customHeight="1">
      <c r="A972" s="1"/>
    </row>
    <row r="973" spans="1:1" ht="15.75" customHeight="1">
      <c r="A973" s="1"/>
    </row>
    <row r="974" spans="1:1" ht="15.75" customHeight="1">
      <c r="A974" s="1"/>
    </row>
    <row r="975" spans="1:1" ht="15.75" customHeight="1">
      <c r="A975" s="1"/>
    </row>
    <row r="976" spans="1:1" ht="15.75" customHeight="1">
      <c r="A976" s="1"/>
    </row>
    <row r="977" spans="1:1" ht="15.75" customHeight="1">
      <c r="A977" s="1"/>
    </row>
    <row r="978" spans="1:1" ht="15.75" customHeight="1">
      <c r="A978" s="1"/>
    </row>
    <row r="979" spans="1:1" ht="15.75" customHeight="1">
      <c r="A979" s="1"/>
    </row>
    <row r="980" spans="1:1" ht="15.75" customHeight="1">
      <c r="A980" s="1"/>
    </row>
    <row r="981" spans="1:1" ht="15.75" customHeight="1">
      <c r="A981" s="1"/>
    </row>
    <row r="982" spans="1:1" ht="15.75" customHeight="1">
      <c r="A982" s="1"/>
    </row>
    <row r="983" spans="1:1" ht="15.75" customHeight="1">
      <c r="A983" s="1"/>
    </row>
    <row r="984" spans="1:1" ht="15.75" customHeight="1">
      <c r="A984" s="1"/>
    </row>
    <row r="985" spans="1:1" ht="15.75" customHeight="1">
      <c r="A985" s="1"/>
    </row>
    <row r="986" spans="1:1" ht="15.75" customHeight="1">
      <c r="A986" s="1"/>
    </row>
    <row r="987" spans="1:1" ht="15.75" customHeight="1">
      <c r="A987" s="1"/>
    </row>
    <row r="988" spans="1:1" ht="15.75" customHeight="1">
      <c r="A988" s="1"/>
    </row>
    <row r="989" spans="1:1" ht="15.75" customHeight="1">
      <c r="A989" s="1"/>
    </row>
  </sheetData>
  <mergeCells count="18">
    <mergeCell ref="G22:M22"/>
    <mergeCell ref="A1:M1"/>
    <mergeCell ref="A3:M3"/>
    <mergeCell ref="B5:N5"/>
    <mergeCell ref="G6:M6"/>
    <mergeCell ref="B7:D7"/>
    <mergeCell ref="B16:C16"/>
    <mergeCell ref="B49:C49"/>
    <mergeCell ref="B18:C18"/>
    <mergeCell ref="B19:C19"/>
    <mergeCell ref="B20:C20"/>
    <mergeCell ref="B21:C21"/>
    <mergeCell ref="B22:C22"/>
    <mergeCell ref="B23:D23"/>
    <mergeCell ref="B29:C29"/>
    <mergeCell ref="G36:M37"/>
    <mergeCell ref="G41:M41"/>
    <mergeCell ref="B42:D42"/>
  </mergeCells>
  <pageMargins left="0.7" right="0.7" top="0.75" bottom="0.75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Enero26</vt:lpstr>
      <vt:lpstr>Febrero26</vt:lpstr>
      <vt:lpstr>Marzo26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maria del carmen</cp:lastModifiedBy>
  <dcterms:created xsi:type="dcterms:W3CDTF">2018-02-21T05:25:03Z</dcterms:created>
  <dcterms:modified xsi:type="dcterms:W3CDTF">2026-04-23T17:11:37Z</dcterms:modified>
</cp:coreProperties>
</file>